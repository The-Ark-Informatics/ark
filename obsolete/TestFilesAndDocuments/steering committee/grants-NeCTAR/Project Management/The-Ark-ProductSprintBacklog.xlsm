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comments18.xml" ContentType="application/vnd.openxmlformats-officedocument.spreadsheetml.comment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omments16.xml" ContentType="application/vnd.openxmlformats-officedocument.spreadsheetml.comments+xml"/>
  <Override PartName="/xl/charts/chart18.xml" ContentType="application/vnd.openxmlformats-officedocument.drawingml.char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omments14.xml" ContentType="application/vnd.openxmlformats-officedocument.spreadsheetml.comments+xml"/>
  <Override PartName="/xl/charts/chart16.xml" ContentType="application/vnd.openxmlformats-officedocument.drawingml.char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harts/chart14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comments19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comments17.xml" ContentType="application/vnd.openxmlformats-officedocument.spreadsheetml.comments+xml"/>
  <Override PartName="/xl/charts/chart19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comments15.xml" ContentType="application/vnd.openxmlformats-officedocument.spreadsheetml.comments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drawings/drawing10.xml" ContentType="application/vnd.openxmlformats-officedocument.drawing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charts/chart1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80" yWindow="255" windowWidth="15180" windowHeight="8355" tabRatio="815" firstSheet="4" activeTab="18"/>
  </bookViews>
  <sheets>
    <sheet name="Release Plan" sheetId="7" r:id="rId1"/>
    <sheet name="Product Backlog" sheetId="8" r:id="rId2"/>
    <sheet name="PB Burndown" sheetId="20" r:id="rId3"/>
    <sheet name="Sprint1" sheetId="19" r:id="rId4"/>
    <sheet name="Sprint2" sheetId="22" r:id="rId5"/>
    <sheet name="Sprint3" sheetId="23" r:id="rId6"/>
    <sheet name="Sprint4" sheetId="24" r:id="rId7"/>
    <sheet name="Sprint5" sheetId="25" r:id="rId8"/>
    <sheet name="Sprint6" sheetId="26" r:id="rId9"/>
    <sheet name="Sprint7" sheetId="27" r:id="rId10"/>
    <sheet name="Sprint8" sheetId="28" r:id="rId11"/>
    <sheet name="Sprint9" sheetId="29" r:id="rId12"/>
    <sheet name="Sprint10" sheetId="30" r:id="rId13"/>
    <sheet name="Sprint11" sheetId="31" r:id="rId14"/>
    <sheet name="Sprint12" sheetId="32" r:id="rId15"/>
    <sheet name="Sprint13" sheetId="33" r:id="rId16"/>
    <sheet name="Sprint14" sheetId="34" r:id="rId17"/>
    <sheet name="Sprint15" sheetId="35" r:id="rId18"/>
    <sheet name="Sprint16" sheetId="36" r:id="rId19"/>
    <sheet name="Sprint Sheet Template" sheetId="16" r:id="rId20"/>
    <sheet name="Task Slips" sheetId="21" r:id="rId21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19">'Sprint Sheet Template'!$D$11</definedName>
    <definedName name="DoneDays" localSheetId="3">Sprint1!$D$11</definedName>
    <definedName name="DoneDays" localSheetId="12">Sprint10!$D$11</definedName>
    <definedName name="DoneDays" localSheetId="13">Sprint11!$D$11</definedName>
    <definedName name="DoneDays" localSheetId="14">Sprint12!$D$11</definedName>
    <definedName name="DoneDays" localSheetId="15">Sprint13!$D$11</definedName>
    <definedName name="DoneDays" localSheetId="16">Sprint14!$D$11</definedName>
    <definedName name="DoneDays" localSheetId="17">Sprint15!$D$11</definedName>
    <definedName name="DoneDays" localSheetId="18">Sprint16!$D$11</definedName>
    <definedName name="DoneDays" localSheetId="4">Sprint2!$D$11</definedName>
    <definedName name="DoneDays" localSheetId="5">Sprint3!$D$11</definedName>
    <definedName name="DoneDays" localSheetId="6">Sprint4!$D$11</definedName>
    <definedName name="DoneDays" localSheetId="7">Sprint5!$D$11</definedName>
    <definedName name="DoneDays" localSheetId="8">Sprint6!$D$11</definedName>
    <definedName name="DoneDays" localSheetId="9">Sprint7!$D$11</definedName>
    <definedName name="DoneDays" localSheetId="10">Sprint8!$D$11</definedName>
    <definedName name="DoneDays" localSheetId="11">Sprint9!$D$11</definedName>
    <definedName name="DoneDays">#REF!</definedName>
    <definedName name="ImplementationDays" localSheetId="19">'Sprint Sheet Template'!$B$9</definedName>
    <definedName name="ImplementationDays" localSheetId="3">Sprint1!$B$9</definedName>
    <definedName name="ImplementationDays" localSheetId="12">Sprint10!$B$9</definedName>
    <definedName name="ImplementationDays" localSheetId="13">Sprint11!$B$9</definedName>
    <definedName name="ImplementationDays" localSheetId="14">Sprint12!$B$9</definedName>
    <definedName name="ImplementationDays" localSheetId="15">Sprint13!$B$9</definedName>
    <definedName name="ImplementationDays" localSheetId="16">Sprint14!$B$9</definedName>
    <definedName name="ImplementationDays" localSheetId="17">Sprint15!$B$9</definedName>
    <definedName name="ImplementationDays" localSheetId="18">Sprint16!$B$9</definedName>
    <definedName name="ImplementationDays" localSheetId="4">Sprint2!$B$9</definedName>
    <definedName name="ImplementationDays" localSheetId="5">Sprint3!$B$9</definedName>
    <definedName name="ImplementationDays" localSheetId="6">Sprint4!$B$9</definedName>
    <definedName name="ImplementationDays" localSheetId="7">Sprint5!$B$9</definedName>
    <definedName name="ImplementationDays" localSheetId="8">Sprint6!$B$9</definedName>
    <definedName name="ImplementationDays" localSheetId="9">Sprint7!$B$9</definedName>
    <definedName name="ImplementationDays" localSheetId="10">Sprint8!$B$9</definedName>
    <definedName name="ImplementationDays" localSheetId="11">Sprint9!$B$9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_xlnm.Print_Area" localSheetId="1">'Product Backlog'!$A:$G</definedName>
    <definedName name="_xlnm.Print_Area" localSheetId="20">'Task Slips'!#REF!</definedName>
    <definedName name="ProductBacklog">'Product Backlog'!$A$4:$G$175</definedName>
    <definedName name="RealizedSpeed">OFFSET('PB Burndown'!$D$27,1,0,'PB Burndown'!$G$3,1)</definedName>
    <definedName name="RealValues" localSheetId="19">OFFSET('Sprint Sheet Template'!$F$10,0,0,1,'Sprint Sheet Template'!DoneDays)</definedName>
    <definedName name="RealValues" localSheetId="3">OFFSET(Sprint1!$F$10,0,0,1,Sprint1!DoneDays)</definedName>
    <definedName name="RealValues" localSheetId="12">OFFSET(Sprint10!$F$10,0,0,1,Sprint10!DoneDays)</definedName>
    <definedName name="RealValues" localSheetId="13">OFFSET(Sprint11!$F$10,0,0,1,Sprint11!DoneDays)</definedName>
    <definedName name="RealValues" localSheetId="14">OFFSET(Sprint12!$F$10,0,0,1,Sprint12!DoneDays)</definedName>
    <definedName name="RealValues" localSheetId="15">OFFSET(Sprint13!$F$10,0,0,1,Sprint13!DoneDays)</definedName>
    <definedName name="RealValues" localSheetId="16">OFFSET(Sprint14!$F$10,0,0,1,Sprint14!DoneDays)</definedName>
    <definedName name="RealValues" localSheetId="17">OFFSET(Sprint15!$F$10,0,0,1,Sprint15!DoneDays)</definedName>
    <definedName name="RealValues" localSheetId="18">OFFSET(Sprint16!$F$10,0,0,1,Sprint16!DoneDays)</definedName>
    <definedName name="RealValues" localSheetId="4">OFFSET(Sprint2!$F$10,0,0,1,Sprint2!DoneDays)</definedName>
    <definedName name="RealValues" localSheetId="5">OFFSET(Sprint3!$F$10,0,0,1,Sprint3!DoneDays)</definedName>
    <definedName name="RealValues" localSheetId="6">OFFSET(Sprint4!$F$10,0,0,1,Sprint4!DoneDays)</definedName>
    <definedName name="RealValues" localSheetId="7">OFFSET(Sprint5!$F$10,0,0,1,Sprint5!DoneDays)</definedName>
    <definedName name="RealValues" localSheetId="8">OFFSET(Sprint6!$F$10,0,0,1,Sprint6!DoneDays)</definedName>
    <definedName name="RealValues" localSheetId="9">OFFSET(Sprint7!$F$10,0,0,1,Sprint7!DoneDays)</definedName>
    <definedName name="RealValues" localSheetId="10">OFFSET(Sprint8!$F$10,0,0,1,Sprint8!DoneDays)</definedName>
    <definedName name="RealValues" localSheetId="11">OFFSET(Sprint9!$F$10,0,0,1,Sprint9!DoneDays)</definedName>
    <definedName name="Sprint">'Product Backlog'!$E$5:$E$175</definedName>
    <definedName name="SprintCount">'PB Burndown'!$G$3</definedName>
    <definedName name="SprintsInTrend">'PB Burndown'!$G$6</definedName>
    <definedName name="SprintTasks" localSheetId="3">Sprint1!$A$14:$AD$63</definedName>
    <definedName name="SprintTasks" localSheetId="12">Sprint10!$A$14:$AD$63</definedName>
    <definedName name="SprintTasks" localSheetId="13">Sprint11!$A$14:$AD$63</definedName>
    <definedName name="SprintTasks" localSheetId="14">Sprint12!$A$14:$AD$63</definedName>
    <definedName name="SprintTasks" localSheetId="15">Sprint13!$A$14:$AD$53</definedName>
    <definedName name="SprintTasks" localSheetId="16">Sprint14!$A$14:$AD$62</definedName>
    <definedName name="SprintTasks" localSheetId="17">Sprint15!$A$14:$AD$69</definedName>
    <definedName name="SprintTasks" localSheetId="18">Sprint16!$A$14:$AD$60</definedName>
    <definedName name="SprintTasks" localSheetId="4">Sprint2!$A$14:$AD$63</definedName>
    <definedName name="SprintTasks" localSheetId="5">Sprint3!$A$14:$AD$63</definedName>
    <definedName name="SprintTasks" localSheetId="6">Sprint4!$A$14:$AD$56</definedName>
    <definedName name="SprintTasks" localSheetId="7">Sprint5!$A$14:$AD$63</definedName>
    <definedName name="SprintTasks" localSheetId="8">Sprint6!$A$14:$AD$63</definedName>
    <definedName name="SprintTasks" localSheetId="9">Sprint7!$A$14:$AD$61</definedName>
    <definedName name="SprintTasks" localSheetId="10">Sprint8!$A$14:$AD$62</definedName>
    <definedName name="SprintTasks" localSheetId="11">Sprint9!$A$14:$AD$63</definedName>
    <definedName name="SprintTasks">'Sprint Sheet Template'!$A$14:$AD$63</definedName>
    <definedName name="Status">'Product Backlog'!$C$5:$C$175</definedName>
    <definedName name="StoryName">'Product Backlog'!$B$5:$B$175</definedName>
    <definedName name="TaskRows" localSheetId="19">'Sprint Sheet Template'!$B$11</definedName>
    <definedName name="TaskRows" localSheetId="3">Sprint1!$B$11</definedName>
    <definedName name="TaskRows" localSheetId="12">Sprint10!$B$11</definedName>
    <definedName name="TaskRows" localSheetId="13">Sprint11!$B$11</definedName>
    <definedName name="TaskRows" localSheetId="14">Sprint12!$B$11</definedName>
    <definedName name="TaskRows" localSheetId="15">Sprint13!$B$11</definedName>
    <definedName name="TaskRows" localSheetId="16">Sprint14!$B$11</definedName>
    <definedName name="TaskRows" localSheetId="17">Sprint15!$B$11</definedName>
    <definedName name="TaskRows" localSheetId="18">Sprint16!$B$11</definedName>
    <definedName name="TaskRows" localSheetId="4">Sprint2!$B$11</definedName>
    <definedName name="TaskRows" localSheetId="5">Sprint3!$B$11</definedName>
    <definedName name="TaskRows" localSheetId="6">Sprint4!$B$11</definedName>
    <definedName name="TaskRows" localSheetId="7">Sprint5!$B$11</definedName>
    <definedName name="TaskRows" localSheetId="8">Sprint6!$B$11</definedName>
    <definedName name="TaskRows" localSheetId="9">Sprint7!$B$11</definedName>
    <definedName name="TaskRows" localSheetId="10">Sprint8!$B$11</definedName>
    <definedName name="TaskRows" localSheetId="11">Sprint9!$B$11</definedName>
    <definedName name="TaskRows">#REF!</definedName>
    <definedName name="TaskStatus" localSheetId="3">Sprint1!$D$14:$D$58</definedName>
    <definedName name="TaskStatus" localSheetId="12">Sprint10!$D$14:$D$58</definedName>
    <definedName name="TaskStatus" localSheetId="13">Sprint11!$D$14:$D$58</definedName>
    <definedName name="TaskStatus" localSheetId="14">Sprint12!$D$14:$D$58</definedName>
    <definedName name="TaskStatus" localSheetId="15">Sprint13!$D$14:$D$48</definedName>
    <definedName name="TaskStatus" localSheetId="16">Sprint14!$D$14:$D$57</definedName>
    <definedName name="TaskStatus" localSheetId="17">Sprint15!$D$14:$D$64</definedName>
    <definedName name="TaskStatus" localSheetId="18">Sprint16!$D$14:$D$55</definedName>
    <definedName name="TaskStatus" localSheetId="4">Sprint2!$D$14:$D$58</definedName>
    <definedName name="TaskStatus" localSheetId="5">Sprint3!$D$14:$D$58</definedName>
    <definedName name="TaskStatus" localSheetId="6">Sprint4!$D$14:$D$52</definedName>
    <definedName name="TaskStatus" localSheetId="7">Sprint5!$D$14:$D$58</definedName>
    <definedName name="TaskStatus" localSheetId="8">Sprint6!$D$14:$D$58</definedName>
    <definedName name="TaskStatus" localSheetId="9">Sprint7!$D$14:$D$56</definedName>
    <definedName name="TaskStatus" localSheetId="10">Sprint8!$D$14:$D$57</definedName>
    <definedName name="TaskStatus" localSheetId="11">Sprint9!$D$14:$D$58</definedName>
    <definedName name="TaskStatus">'Sprint Sheet Template'!$D$14:$D$58</definedName>
    <definedName name="TaskStoryID" localSheetId="3">Sprint1!$B$14:$B$53</definedName>
    <definedName name="TaskStoryID" localSheetId="12">Sprint10!$B$14:$B$53</definedName>
    <definedName name="TaskStoryID" localSheetId="13">Sprint11!$B$14:$B$53</definedName>
    <definedName name="TaskStoryID" localSheetId="14">Sprint12!$B$14:$B$53</definedName>
    <definedName name="TaskStoryID" localSheetId="15">Sprint13!$B$14:$B$43</definedName>
    <definedName name="TaskStoryID" localSheetId="16">Sprint14!$B$14:$B$52</definedName>
    <definedName name="TaskStoryID" localSheetId="17">Sprint15!$B$14:$B$59</definedName>
    <definedName name="TaskStoryID" localSheetId="18">Sprint16!$B$14:$B$50</definedName>
    <definedName name="TaskStoryID" localSheetId="4">Sprint2!$B$14:$B$53</definedName>
    <definedName name="TaskStoryID" localSheetId="5">Sprint3!$B$14:$B$53</definedName>
    <definedName name="TaskStoryID" localSheetId="6">Sprint4!$B$14:$B$48</definedName>
    <definedName name="TaskStoryID" localSheetId="7">Sprint5!$B$14:$B$53</definedName>
    <definedName name="TaskStoryID" localSheetId="8">Sprint6!$B$14:$B$53</definedName>
    <definedName name="TaskStoryID" localSheetId="9">Sprint7!$B$14:$B$51</definedName>
    <definedName name="TaskStoryID" localSheetId="10">Sprint8!$B$14:$B$52</definedName>
    <definedName name="TaskStoryID" localSheetId="11">Sprint9!$B$14:$B$53</definedName>
    <definedName name="TaskStoryID">'Sprint Sheet Template'!$B$14:$B$53</definedName>
    <definedName name="TotalEffort" localSheetId="19">'Sprint Sheet Template'!$E$10</definedName>
    <definedName name="TotalEffort" localSheetId="3">Sprint1!$E$10</definedName>
    <definedName name="TotalEffort" localSheetId="12">Sprint10!$E$10</definedName>
    <definedName name="TotalEffort" localSheetId="13">Sprint11!$E$10</definedName>
    <definedName name="TotalEffort" localSheetId="14">Sprint12!$E$10</definedName>
    <definedName name="TotalEffort" localSheetId="15">Sprint13!$E$10</definedName>
    <definedName name="TotalEffort" localSheetId="16">Sprint14!$E$10</definedName>
    <definedName name="TotalEffort" localSheetId="17">Sprint15!$E$10</definedName>
    <definedName name="TotalEffort" localSheetId="18">Sprint16!$E$10</definedName>
    <definedName name="TotalEffort" localSheetId="4">Sprint2!$E$10</definedName>
    <definedName name="TotalEffort" localSheetId="5">Sprint3!$E$10</definedName>
    <definedName name="TotalEffort" localSheetId="6">Sprint4!$E$10</definedName>
    <definedName name="TotalEffort" localSheetId="7">Sprint5!$E$10</definedName>
    <definedName name="TotalEffort" localSheetId="8">Sprint6!$E$10</definedName>
    <definedName name="TotalEffort" localSheetId="9">Sprint7!$E$10</definedName>
    <definedName name="TotalEffort" localSheetId="10">Sprint8!$E$10</definedName>
    <definedName name="TotalEffort" localSheetId="11">Sprint9!$E$10</definedName>
    <definedName name="TotalEffort">#REF!</definedName>
    <definedName name="TrendDays" localSheetId="3">Sprint1!$D$13</definedName>
    <definedName name="TrendDays" localSheetId="12">Sprint10!$D$13</definedName>
    <definedName name="TrendDays" localSheetId="13">Sprint11!$D$13</definedName>
    <definedName name="TrendDays" localSheetId="14">Sprint12!$D$13</definedName>
    <definedName name="TrendDays" localSheetId="15">Sprint13!$D$13</definedName>
    <definedName name="TrendDays" localSheetId="16">Sprint14!$D$13</definedName>
    <definedName name="TrendDays" localSheetId="17">Sprint15!$D$13</definedName>
    <definedName name="TrendDays" localSheetId="18">Sprint16!$D$13</definedName>
    <definedName name="TrendDays" localSheetId="4">Sprint2!$D$13</definedName>
    <definedName name="TrendDays" localSheetId="5">Sprint3!$D$13</definedName>
    <definedName name="TrendDays" localSheetId="6">Sprint4!$D$13</definedName>
    <definedName name="TrendDays" localSheetId="7">Sprint5!$D$13</definedName>
    <definedName name="TrendDays" localSheetId="8">Sprint6!$D$13</definedName>
    <definedName name="TrendDays" localSheetId="9">Sprint7!$D$13</definedName>
    <definedName name="TrendDays" localSheetId="10">Sprint8!$D$13</definedName>
    <definedName name="TrendDays" localSheetId="11">Sprint9!$D$13</definedName>
    <definedName name="TrendDays">'Sprint Sheet Template'!$D$13</definedName>
    <definedName name="TrendOffset">'PB Burndown'!$G$5</definedName>
    <definedName name="TrendSprintCount">'PB Burndown'!$G$4</definedName>
  </definedNames>
  <calcPr calcId="125725" iterateDelta="6.4766571447683168E-319"/>
</workbook>
</file>

<file path=xl/calcChain.xml><?xml version="1.0" encoding="utf-8"?>
<calcChain xmlns="http://schemas.openxmlformats.org/spreadsheetml/2006/main">
  <c r="D31" i="36"/>
  <c r="D30"/>
  <c r="D29"/>
  <c r="D20"/>
  <c r="D61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F30"/>
  <c r="F29"/>
  <c r="F28"/>
  <c r="F27"/>
  <c r="F26"/>
  <c r="F25"/>
  <c r="F24"/>
  <c r="F23"/>
  <c r="F22"/>
  <c r="F21"/>
  <c r="F20"/>
  <c r="F19"/>
  <c r="F18"/>
  <c r="F17"/>
  <c r="F16"/>
  <c r="F15"/>
  <c r="G14"/>
  <c r="G56" s="1"/>
  <c r="B11"/>
  <c r="AA10" s="1"/>
  <c r="W10"/>
  <c r="Q10"/>
  <c r="M10"/>
  <c r="I10"/>
  <c r="E10"/>
  <c r="G11" s="1"/>
  <c r="G34" i="35"/>
  <c r="H34" s="1"/>
  <c r="I34" s="1"/>
  <c r="J34" s="1"/>
  <c r="K34" s="1"/>
  <c r="L34" s="1"/>
  <c r="H33"/>
  <c r="I33" s="1"/>
  <c r="J33" s="1"/>
  <c r="K33" s="1"/>
  <c r="L33" s="1"/>
  <c r="G32"/>
  <c r="H32" s="1"/>
  <c r="I32" s="1"/>
  <c r="J32" s="1"/>
  <c r="K32" s="1"/>
  <c r="L32" s="1"/>
  <c r="G31"/>
  <c r="H31" s="1"/>
  <c r="I31" s="1"/>
  <c r="J31" s="1"/>
  <c r="K31" s="1"/>
  <c r="L31" s="1"/>
  <c r="G30"/>
  <c r="H30" s="1"/>
  <c r="I30" s="1"/>
  <c r="J30" s="1"/>
  <c r="K30" s="1"/>
  <c r="L30" s="1"/>
  <c r="G29"/>
  <c r="H29" s="1"/>
  <c r="I29" s="1"/>
  <c r="J29" s="1"/>
  <c r="K29" s="1"/>
  <c r="L29" s="1"/>
  <c r="G28"/>
  <c r="H28" s="1"/>
  <c r="I28" s="1"/>
  <c r="J28" s="1"/>
  <c r="K28" s="1"/>
  <c r="L28" s="1"/>
  <c r="G27"/>
  <c r="H27" s="1"/>
  <c r="I27" s="1"/>
  <c r="J27" s="1"/>
  <c r="K27" s="1"/>
  <c r="L27" s="1"/>
  <c r="G26"/>
  <c r="H26" s="1"/>
  <c r="I26" s="1"/>
  <c r="J26" s="1"/>
  <c r="G21"/>
  <c r="H21" s="1"/>
  <c r="I21" s="1"/>
  <c r="J21" s="1"/>
  <c r="K21" s="1"/>
  <c r="L21" s="1"/>
  <c r="F29"/>
  <c r="AC29"/>
  <c r="AD29"/>
  <c r="F28"/>
  <c r="AC28"/>
  <c r="AD28"/>
  <c r="F27"/>
  <c r="AC27"/>
  <c r="AD27"/>
  <c r="F25"/>
  <c r="AC25"/>
  <c r="AD25"/>
  <c r="F26"/>
  <c r="AC26"/>
  <c r="AD26"/>
  <c r="F24"/>
  <c r="AC24"/>
  <c r="AD24"/>
  <c r="F23"/>
  <c r="AC23"/>
  <c r="AD23"/>
  <c r="D34"/>
  <c r="D32"/>
  <c r="D31"/>
  <c r="D21"/>
  <c r="D70"/>
  <c r="F65"/>
  <c r="D65"/>
  <c r="F64"/>
  <c r="D64"/>
  <c r="F63"/>
  <c r="D63"/>
  <c r="F62"/>
  <c r="D62"/>
  <c r="F61"/>
  <c r="D61"/>
  <c r="F60"/>
  <c r="D60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F33"/>
  <c r="F32"/>
  <c r="F31"/>
  <c r="F30"/>
  <c r="F22"/>
  <c r="F21"/>
  <c r="F16"/>
  <c r="F15"/>
  <c r="G14"/>
  <c r="G65" s="1"/>
  <c r="B11"/>
  <c r="AA10" s="1"/>
  <c r="D30" i="7"/>
  <c r="B30"/>
  <c r="D37" i="34"/>
  <c r="D36"/>
  <c r="D35"/>
  <c r="D34"/>
  <c r="D33"/>
  <c r="D31"/>
  <c r="D28"/>
  <c r="D27"/>
  <c r="D26"/>
  <c r="D25"/>
  <c r="D24"/>
  <c r="D63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G14"/>
  <c r="G58" s="1"/>
  <c r="B11"/>
  <c r="O10" s="1"/>
  <c r="A269" i="21"/>
  <c r="A261"/>
  <c r="A253"/>
  <c r="A245"/>
  <c r="A237"/>
  <c r="A229"/>
  <c r="A221"/>
  <c r="A213"/>
  <c r="A205"/>
  <c r="A197"/>
  <c r="A189"/>
  <c r="A181"/>
  <c r="A173"/>
  <c r="A165"/>
  <c r="A157"/>
  <c r="A149"/>
  <c r="A141"/>
  <c r="A133"/>
  <c r="A125"/>
  <c r="A117"/>
  <c r="A109"/>
  <c r="A101"/>
  <c r="A93"/>
  <c r="A85"/>
  <c r="A77"/>
  <c r="A69"/>
  <c r="A61"/>
  <c r="A53"/>
  <c r="A45"/>
  <c r="A37"/>
  <c r="A29"/>
  <c r="A21"/>
  <c r="A13"/>
  <c r="A5"/>
  <c r="G48" i="33"/>
  <c r="H48" s="1"/>
  <c r="I48" s="1"/>
  <c r="J48" s="1"/>
  <c r="K48" s="1"/>
  <c r="L48" s="1"/>
  <c r="M48" s="1"/>
  <c r="G47"/>
  <c r="H47" s="1"/>
  <c r="I47" s="1"/>
  <c r="J47" s="1"/>
  <c r="K47" s="1"/>
  <c r="L47" s="1"/>
  <c r="M47" s="1"/>
  <c r="G46"/>
  <c r="H46" s="1"/>
  <c r="I46" s="1"/>
  <c r="J46" s="1"/>
  <c r="K46" s="1"/>
  <c r="L46" s="1"/>
  <c r="M46" s="1"/>
  <c r="G45"/>
  <c r="H45" s="1"/>
  <c r="I45" s="1"/>
  <c r="J45" s="1"/>
  <c r="K45" s="1"/>
  <c r="L45" s="1"/>
  <c r="M45" s="1"/>
  <c r="G44"/>
  <c r="H44" s="1"/>
  <c r="I44" s="1"/>
  <c r="J44" s="1"/>
  <c r="K44" s="1"/>
  <c r="L44" s="1"/>
  <c r="M44" s="1"/>
  <c r="G43"/>
  <c r="H43" s="1"/>
  <c r="I43" s="1"/>
  <c r="J43" s="1"/>
  <c r="K43" s="1"/>
  <c r="L43" s="1"/>
  <c r="M43" s="1"/>
  <c r="G42"/>
  <c r="H42" s="1"/>
  <c r="I42" s="1"/>
  <c r="J42" s="1"/>
  <c r="K42" s="1"/>
  <c r="L42" s="1"/>
  <c r="M42" s="1"/>
  <c r="F34"/>
  <c r="F33"/>
  <c r="D54"/>
  <c r="F49"/>
  <c r="D49"/>
  <c r="F48"/>
  <c r="D48"/>
  <c r="F47"/>
  <c r="D47"/>
  <c r="F46"/>
  <c r="D46"/>
  <c r="F45"/>
  <c r="D45"/>
  <c r="F44"/>
  <c r="D44"/>
  <c r="F43"/>
  <c r="D43"/>
  <c r="F42"/>
  <c r="D42"/>
  <c r="F41"/>
  <c r="F40"/>
  <c r="F39"/>
  <c r="F38"/>
  <c r="D38"/>
  <c r="F37"/>
  <c r="F36"/>
  <c r="F35"/>
  <c r="D35"/>
  <c r="D34"/>
  <c r="D33"/>
  <c r="F32"/>
  <c r="D32"/>
  <c r="F31"/>
  <c r="F30"/>
  <c r="F29"/>
  <c r="D29"/>
  <c r="F28"/>
  <c r="F27"/>
  <c r="D27"/>
  <c r="F26"/>
  <c r="D26"/>
  <c r="F25"/>
  <c r="D25"/>
  <c r="F24"/>
  <c r="D24"/>
  <c r="F23"/>
  <c r="F22"/>
  <c r="F21"/>
  <c r="F20"/>
  <c r="F19"/>
  <c r="F18"/>
  <c r="F17"/>
  <c r="F16"/>
  <c r="F15"/>
  <c r="G14"/>
  <c r="G49" s="1"/>
  <c r="B11"/>
  <c r="E10" s="1"/>
  <c r="C40" i="20" s="1"/>
  <c r="D64" i="32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F24"/>
  <c r="D24"/>
  <c r="F23"/>
  <c r="F22"/>
  <c r="F21"/>
  <c r="F20"/>
  <c r="F19"/>
  <c r="F18"/>
  <c r="F17"/>
  <c r="F16"/>
  <c r="F15"/>
  <c r="G14"/>
  <c r="G59" s="1"/>
  <c r="B11"/>
  <c r="D64" i="31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F25"/>
  <c r="D25"/>
  <c r="F23"/>
  <c r="F22"/>
  <c r="F21"/>
  <c r="F19"/>
  <c r="F18"/>
  <c r="F17"/>
  <c r="D17"/>
  <c r="F16"/>
  <c r="F15"/>
  <c r="G14"/>
  <c r="G59" s="1"/>
  <c r="B11"/>
  <c r="AA10" s="1"/>
  <c r="B31" i="7"/>
  <c r="D31" s="1"/>
  <c r="D64" i="30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D24"/>
  <c r="F23"/>
  <c r="D23"/>
  <c r="F22"/>
  <c r="D22"/>
  <c r="F21"/>
  <c r="F20"/>
  <c r="F19"/>
  <c r="F18"/>
  <c r="D18"/>
  <c r="F17"/>
  <c r="F16"/>
  <c r="F15"/>
  <c r="H14"/>
  <c r="H59" s="1"/>
  <c r="G14"/>
  <c r="G59" s="1"/>
  <c r="B11"/>
  <c r="AB10" s="1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G11" s="1"/>
  <c r="D64" i="29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D24"/>
  <c r="F23"/>
  <c r="D23"/>
  <c r="F22"/>
  <c r="D22"/>
  <c r="F21"/>
  <c r="F20"/>
  <c r="F19"/>
  <c r="D19"/>
  <c r="F17"/>
  <c r="F16"/>
  <c r="F15"/>
  <c r="G14"/>
  <c r="G59" s="1"/>
  <c r="B11"/>
  <c r="Y10" s="1"/>
  <c r="G10" i="36" l="1"/>
  <c r="K10"/>
  <c r="O10"/>
  <c r="S10"/>
  <c r="F10"/>
  <c r="H10"/>
  <c r="J10"/>
  <c r="L10"/>
  <c r="N10"/>
  <c r="P10"/>
  <c r="R10"/>
  <c r="U10"/>
  <c r="Y10"/>
  <c r="T10"/>
  <c r="V10"/>
  <c r="X10"/>
  <c r="Z10"/>
  <c r="AB10"/>
  <c r="H14"/>
  <c r="H56" s="1"/>
  <c r="F11"/>
  <c r="H11"/>
  <c r="G55"/>
  <c r="G10" i="35"/>
  <c r="O10"/>
  <c r="K10"/>
  <c r="S10"/>
  <c r="I10"/>
  <c r="M10"/>
  <c r="Q10"/>
  <c r="W10"/>
  <c r="H10"/>
  <c r="J10"/>
  <c r="L10"/>
  <c r="N10"/>
  <c r="P10"/>
  <c r="R10"/>
  <c r="T10"/>
  <c r="G26" i="34"/>
  <c r="G28"/>
  <c r="G33"/>
  <c r="G36"/>
  <c r="G25"/>
  <c r="G27"/>
  <c r="G31"/>
  <c r="G34"/>
  <c r="G35"/>
  <c r="G37"/>
  <c r="U10" i="35"/>
  <c r="Y10"/>
  <c r="V10"/>
  <c r="X10"/>
  <c r="Z10"/>
  <c r="AB10"/>
  <c r="H14"/>
  <c r="H65" s="1"/>
  <c r="I14"/>
  <c r="G64"/>
  <c r="H64"/>
  <c r="G10" i="34"/>
  <c r="E10"/>
  <c r="G11" s="1"/>
  <c r="C37" i="20"/>
  <c r="F10" i="34"/>
  <c r="W10"/>
  <c r="M10"/>
  <c r="S10"/>
  <c r="AA10"/>
  <c r="N10"/>
  <c r="Q10"/>
  <c r="U10"/>
  <c r="Y10"/>
  <c r="P10"/>
  <c r="R10"/>
  <c r="T10"/>
  <c r="V10"/>
  <c r="X10"/>
  <c r="Z10"/>
  <c r="AB10"/>
  <c r="H14"/>
  <c r="G57"/>
  <c r="H57"/>
  <c r="G24" i="33"/>
  <c r="G26"/>
  <c r="G29"/>
  <c r="G33"/>
  <c r="G35"/>
  <c r="G39"/>
  <c r="G25"/>
  <c r="G28"/>
  <c r="G32"/>
  <c r="G34"/>
  <c r="G38"/>
  <c r="G11"/>
  <c r="F10"/>
  <c r="H14"/>
  <c r="H49" s="1"/>
  <c r="F11"/>
  <c r="H11"/>
  <c r="G10"/>
  <c r="O10" i="32"/>
  <c r="G10"/>
  <c r="W10"/>
  <c r="K10"/>
  <c r="S10"/>
  <c r="AA10"/>
  <c r="E10"/>
  <c r="I10"/>
  <c r="M10"/>
  <c r="Q10"/>
  <c r="U10"/>
  <c r="Y10"/>
  <c r="F10"/>
  <c r="H10"/>
  <c r="J10"/>
  <c r="L10"/>
  <c r="N10"/>
  <c r="P10"/>
  <c r="R10"/>
  <c r="T10"/>
  <c r="V10"/>
  <c r="X10"/>
  <c r="Z10"/>
  <c r="AB10"/>
  <c r="H14"/>
  <c r="H59" s="1"/>
  <c r="I14"/>
  <c r="G58"/>
  <c r="H58"/>
  <c r="M10" i="31"/>
  <c r="E10"/>
  <c r="U10"/>
  <c r="I10"/>
  <c r="Q10"/>
  <c r="Y10"/>
  <c r="G10"/>
  <c r="K10"/>
  <c r="O10"/>
  <c r="S10"/>
  <c r="W10"/>
  <c r="F10"/>
  <c r="H10"/>
  <c r="J10"/>
  <c r="L10"/>
  <c r="N10"/>
  <c r="P10"/>
  <c r="R10"/>
  <c r="T10"/>
  <c r="V10"/>
  <c r="X10"/>
  <c r="Z10"/>
  <c r="AB10"/>
  <c r="H14"/>
  <c r="H59" s="1"/>
  <c r="I14"/>
  <c r="G58"/>
  <c r="H58"/>
  <c r="F11" i="30"/>
  <c r="H11"/>
  <c r="I14"/>
  <c r="G58"/>
  <c r="H58"/>
  <c r="G10" i="29"/>
  <c r="K10"/>
  <c r="O10"/>
  <c r="S10"/>
  <c r="W10"/>
  <c r="E10"/>
  <c r="I10"/>
  <c r="M10"/>
  <c r="Q10"/>
  <c r="U10"/>
  <c r="AA10"/>
  <c r="F10"/>
  <c r="H10"/>
  <c r="J10"/>
  <c r="L10"/>
  <c r="N10"/>
  <c r="P10"/>
  <c r="R10"/>
  <c r="T10"/>
  <c r="V10"/>
  <c r="X10"/>
  <c r="Z10"/>
  <c r="AB10"/>
  <c r="H14"/>
  <c r="H59" s="1"/>
  <c r="I14"/>
  <c r="G58"/>
  <c r="H58"/>
  <c r="D63" i="28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F23"/>
  <c r="F21"/>
  <c r="F18"/>
  <c r="D18"/>
  <c r="F17"/>
  <c r="F16"/>
  <c r="G14"/>
  <c r="G58" s="1"/>
  <c r="B11"/>
  <c r="AA10" s="1"/>
  <c r="H55" i="36" l="1"/>
  <c r="I14"/>
  <c r="J14"/>
  <c r="I11"/>
  <c r="I56"/>
  <c r="I55"/>
  <c r="H11" i="34"/>
  <c r="H35"/>
  <c r="H31"/>
  <c r="H25"/>
  <c r="H33"/>
  <c r="H26"/>
  <c r="H58"/>
  <c r="H34"/>
  <c r="H37"/>
  <c r="H27"/>
  <c r="H36"/>
  <c r="H28"/>
  <c r="F11"/>
  <c r="J14" i="35"/>
  <c r="I65"/>
  <c r="I64"/>
  <c r="I14" i="34"/>
  <c r="J14" s="1"/>
  <c r="G11" i="32"/>
  <c r="C39" i="20"/>
  <c r="G11" i="31"/>
  <c r="C38" i="20"/>
  <c r="I11" i="34"/>
  <c r="I57"/>
  <c r="H38" i="33"/>
  <c r="H32"/>
  <c r="H25"/>
  <c r="H35"/>
  <c r="H29"/>
  <c r="H24"/>
  <c r="H34"/>
  <c r="H28"/>
  <c r="H39"/>
  <c r="H33"/>
  <c r="H26"/>
  <c r="H10"/>
  <c r="I14"/>
  <c r="J14"/>
  <c r="I11"/>
  <c r="I49"/>
  <c r="H11" i="32"/>
  <c r="F11"/>
  <c r="J14"/>
  <c r="I11"/>
  <c r="I59"/>
  <c r="I58"/>
  <c r="H11" i="31"/>
  <c r="F11"/>
  <c r="J14"/>
  <c r="I11"/>
  <c r="I59"/>
  <c r="I58"/>
  <c r="G11" i="29"/>
  <c r="C36" i="20"/>
  <c r="J14" i="30"/>
  <c r="I11"/>
  <c r="I59"/>
  <c r="I58"/>
  <c r="H11" i="29"/>
  <c r="F11"/>
  <c r="J14"/>
  <c r="I11"/>
  <c r="I59"/>
  <c r="I58"/>
  <c r="F10" i="28"/>
  <c r="J10"/>
  <c r="O10"/>
  <c r="W10"/>
  <c r="H10"/>
  <c r="L10"/>
  <c r="S10"/>
  <c r="E10"/>
  <c r="G10"/>
  <c r="I10"/>
  <c r="K10"/>
  <c r="M10"/>
  <c r="Q10"/>
  <c r="U10"/>
  <c r="Y10"/>
  <c r="N10"/>
  <c r="P10"/>
  <c r="R10"/>
  <c r="T10"/>
  <c r="V10"/>
  <c r="X10"/>
  <c r="Z10"/>
  <c r="AB10"/>
  <c r="H14"/>
  <c r="H58" s="1"/>
  <c r="I14"/>
  <c r="G57"/>
  <c r="H57"/>
  <c r="F20" i="27"/>
  <c r="F19"/>
  <c r="F18"/>
  <c r="D18"/>
  <c r="F15"/>
  <c r="D62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F23"/>
  <c r="G14"/>
  <c r="G57" s="1"/>
  <c r="B11"/>
  <c r="AA10" s="1"/>
  <c r="F15" i="26"/>
  <c r="D64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D24"/>
  <c r="F23"/>
  <c r="F22"/>
  <c r="F21"/>
  <c r="D21"/>
  <c r="F20"/>
  <c r="D20"/>
  <c r="F19"/>
  <c r="D19"/>
  <c r="F18"/>
  <c r="F17"/>
  <c r="F16"/>
  <c r="D16"/>
  <c r="G14"/>
  <c r="G59" s="1"/>
  <c r="B11"/>
  <c r="O10" s="1"/>
  <c r="AD15" i="25"/>
  <c r="AC15"/>
  <c r="F15"/>
  <c r="D64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7"/>
  <c r="D37"/>
  <c r="F35"/>
  <c r="G14"/>
  <c r="G59" s="1"/>
  <c r="B11"/>
  <c r="V10" s="1"/>
  <c r="F58" i="24"/>
  <c r="G58" s="1"/>
  <c r="H58" s="1"/>
  <c r="I58" s="1"/>
  <c r="D58"/>
  <c r="F57"/>
  <c r="G57" s="1"/>
  <c r="H57" s="1"/>
  <c r="I57" s="1"/>
  <c r="F56"/>
  <c r="D56"/>
  <c r="F55"/>
  <c r="D55"/>
  <c r="F54"/>
  <c r="D54"/>
  <c r="D57"/>
  <c r="F53"/>
  <c r="F52"/>
  <c r="D52"/>
  <c r="F51"/>
  <c r="D51"/>
  <c r="F50"/>
  <c r="F49"/>
  <c r="D49"/>
  <c r="F48"/>
  <c r="F47"/>
  <c r="F46"/>
  <c r="F45"/>
  <c r="F44"/>
  <c r="F43"/>
  <c r="D43"/>
  <c r="F42"/>
  <c r="D42"/>
  <c r="F41"/>
  <c r="F40"/>
  <c r="F39"/>
  <c r="F38"/>
  <c r="D38"/>
  <c r="F37"/>
  <c r="F36"/>
  <c r="F35"/>
  <c r="F34"/>
  <c r="F33"/>
  <c r="F32"/>
  <c r="F31"/>
  <c r="F29"/>
  <c r="F28"/>
  <c r="F27"/>
  <c r="F26"/>
  <c r="D26"/>
  <c r="F25"/>
  <c r="F24"/>
  <c r="F23"/>
  <c r="F21"/>
  <c r="F20"/>
  <c r="F19"/>
  <c r="F18"/>
  <c r="F17"/>
  <c r="F16"/>
  <c r="F15"/>
  <c r="G14"/>
  <c r="G56" s="1"/>
  <c r="B11"/>
  <c r="D64" i="23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F23"/>
  <c r="F22"/>
  <c r="F21"/>
  <c r="F20"/>
  <c r="F19"/>
  <c r="F18"/>
  <c r="F17"/>
  <c r="F16"/>
  <c r="F15"/>
  <c r="G14"/>
  <c r="G59" s="1"/>
  <c r="B11"/>
  <c r="I10" s="1"/>
  <c r="AC22" i="22"/>
  <c r="AD22"/>
  <c r="F15" i="19"/>
  <c r="J56" i="36" l="1"/>
  <c r="J55"/>
  <c r="K14"/>
  <c r="J11"/>
  <c r="J25" i="34"/>
  <c r="I25"/>
  <c r="H10"/>
  <c r="I58"/>
  <c r="I28"/>
  <c r="J28" s="1"/>
  <c r="I27"/>
  <c r="J27" s="1"/>
  <c r="I34"/>
  <c r="J34" s="1"/>
  <c r="I26"/>
  <c r="J26" s="1"/>
  <c r="I35"/>
  <c r="J35" s="1"/>
  <c r="I36"/>
  <c r="J36" s="1"/>
  <c r="I37"/>
  <c r="J37" s="1"/>
  <c r="I33"/>
  <c r="J33" s="1"/>
  <c r="I31"/>
  <c r="J31" s="1"/>
  <c r="J65" i="35"/>
  <c r="J64"/>
  <c r="K14"/>
  <c r="J58" i="34"/>
  <c r="J57"/>
  <c r="K14"/>
  <c r="J11"/>
  <c r="I26" i="33"/>
  <c r="J26" s="1"/>
  <c r="I39"/>
  <c r="J39" s="1"/>
  <c r="I34"/>
  <c r="J34" s="1"/>
  <c r="I29"/>
  <c r="J29" s="1"/>
  <c r="I25"/>
  <c r="J25" s="1"/>
  <c r="I38"/>
  <c r="J38" s="1"/>
  <c r="I33"/>
  <c r="J33" s="1"/>
  <c r="I28"/>
  <c r="I24"/>
  <c r="J24" s="1"/>
  <c r="I35"/>
  <c r="J35" s="1"/>
  <c r="I32"/>
  <c r="J32" s="1"/>
  <c r="I10"/>
  <c r="J49"/>
  <c r="J10"/>
  <c r="K14"/>
  <c r="J11"/>
  <c r="J59" i="32"/>
  <c r="J58"/>
  <c r="K14"/>
  <c r="J11"/>
  <c r="J59" i="31"/>
  <c r="J58"/>
  <c r="K14"/>
  <c r="J11"/>
  <c r="G11" i="28"/>
  <c r="C35" i="20"/>
  <c r="J59" i="30"/>
  <c r="J58"/>
  <c r="K14"/>
  <c r="J11"/>
  <c r="J59" i="29"/>
  <c r="J58"/>
  <c r="K14"/>
  <c r="J11"/>
  <c r="H11" i="28"/>
  <c r="F11"/>
  <c r="J14"/>
  <c r="I11"/>
  <c r="I58"/>
  <c r="I57"/>
  <c r="J10" i="27"/>
  <c r="R10"/>
  <c r="F10"/>
  <c r="N10"/>
  <c r="V10"/>
  <c r="H10"/>
  <c r="L10"/>
  <c r="P10"/>
  <c r="T10"/>
  <c r="Y10"/>
  <c r="E10"/>
  <c r="G11" s="1"/>
  <c r="G10"/>
  <c r="I10"/>
  <c r="K10"/>
  <c r="M10"/>
  <c r="O10"/>
  <c r="Q10"/>
  <c r="S10"/>
  <c r="U10"/>
  <c r="W10"/>
  <c r="H14"/>
  <c r="H57" s="1"/>
  <c r="X10"/>
  <c r="Z10"/>
  <c r="AB10"/>
  <c r="G56"/>
  <c r="H56"/>
  <c r="I10" i="26"/>
  <c r="E10"/>
  <c r="G10"/>
  <c r="K10"/>
  <c r="W10"/>
  <c r="F10"/>
  <c r="H10"/>
  <c r="J10"/>
  <c r="M10"/>
  <c r="S10"/>
  <c r="AA10"/>
  <c r="Q10"/>
  <c r="U10"/>
  <c r="Y10"/>
  <c r="L10"/>
  <c r="N10"/>
  <c r="P10"/>
  <c r="R10"/>
  <c r="T10"/>
  <c r="V10"/>
  <c r="X10"/>
  <c r="Z10"/>
  <c r="AB10"/>
  <c r="H14"/>
  <c r="H59" s="1"/>
  <c r="I14"/>
  <c r="G58"/>
  <c r="H58"/>
  <c r="N10" i="25"/>
  <c r="F10"/>
  <c r="J10"/>
  <c r="R10"/>
  <c r="Z10"/>
  <c r="H10"/>
  <c r="L10"/>
  <c r="P10"/>
  <c r="T10"/>
  <c r="X10"/>
  <c r="AB10"/>
  <c r="E10"/>
  <c r="G10"/>
  <c r="I10"/>
  <c r="K10"/>
  <c r="M10"/>
  <c r="O10"/>
  <c r="Q10"/>
  <c r="S10"/>
  <c r="U10"/>
  <c r="W10"/>
  <c r="Y10"/>
  <c r="AA10"/>
  <c r="H14"/>
  <c r="H59" s="1"/>
  <c r="I14"/>
  <c r="G58"/>
  <c r="H58"/>
  <c r="G41" i="24"/>
  <c r="G42"/>
  <c r="G43"/>
  <c r="G47"/>
  <c r="G38"/>
  <c r="G40"/>
  <c r="G44"/>
  <c r="G45"/>
  <c r="G46"/>
  <c r="G50"/>
  <c r="G51"/>
  <c r="G37"/>
  <c r="G39"/>
  <c r="G49"/>
  <c r="G54"/>
  <c r="G55"/>
  <c r="G53"/>
  <c r="E10"/>
  <c r="F10"/>
  <c r="H14"/>
  <c r="H53" s="1"/>
  <c r="G52"/>
  <c r="G10" s="1"/>
  <c r="G10" i="23"/>
  <c r="E10"/>
  <c r="K10"/>
  <c r="M10"/>
  <c r="O10"/>
  <c r="Q10"/>
  <c r="S10"/>
  <c r="U10"/>
  <c r="W10"/>
  <c r="Y10"/>
  <c r="AA10"/>
  <c r="F10"/>
  <c r="H10"/>
  <c r="J10"/>
  <c r="L10"/>
  <c r="N10"/>
  <c r="P10"/>
  <c r="R10"/>
  <c r="T10"/>
  <c r="V10"/>
  <c r="X10"/>
  <c r="Z10"/>
  <c r="AB10"/>
  <c r="H14"/>
  <c r="H59" s="1"/>
  <c r="I14"/>
  <c r="G58"/>
  <c r="H58"/>
  <c r="F21" i="22"/>
  <c r="AC21"/>
  <c r="AD21"/>
  <c r="F20"/>
  <c r="AC20"/>
  <c r="AD20"/>
  <c r="D35"/>
  <c r="D34"/>
  <c r="D33"/>
  <c r="D32"/>
  <c r="D31"/>
  <c r="D30"/>
  <c r="D29"/>
  <c r="D28"/>
  <c r="D27"/>
  <c r="D26"/>
  <c r="D25"/>
  <c r="D21"/>
  <c r="D64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F34"/>
  <c r="F33"/>
  <c r="F32"/>
  <c r="F31"/>
  <c r="F30"/>
  <c r="F29"/>
  <c r="F28"/>
  <c r="F27"/>
  <c r="F26"/>
  <c r="F25"/>
  <c r="F23"/>
  <c r="F19"/>
  <c r="F18"/>
  <c r="F17"/>
  <c r="F16"/>
  <c r="F15"/>
  <c r="G14"/>
  <c r="G59" s="1"/>
  <c r="B11"/>
  <c r="E23" i="7"/>
  <c r="E22"/>
  <c r="E21"/>
  <c r="E20"/>
  <c r="E19"/>
  <c r="E16"/>
  <c r="B11" i="16"/>
  <c r="G14"/>
  <c r="H14"/>
  <c r="D15"/>
  <c r="F15"/>
  <c r="F10" s="1"/>
  <c r="D16"/>
  <c r="F16"/>
  <c r="D17"/>
  <c r="F17"/>
  <c r="D18"/>
  <c r="F18"/>
  <c r="D19"/>
  <c r="F19"/>
  <c r="D20"/>
  <c r="F20"/>
  <c r="D21"/>
  <c r="F21"/>
  <c r="D22"/>
  <c r="F22"/>
  <c r="D23"/>
  <c r="F23"/>
  <c r="D24"/>
  <c r="F24"/>
  <c r="D25"/>
  <c r="F25"/>
  <c r="D26"/>
  <c r="F26"/>
  <c r="D27"/>
  <c r="F27"/>
  <c r="D28"/>
  <c r="F28"/>
  <c r="D29"/>
  <c r="F29"/>
  <c r="D30"/>
  <c r="F30"/>
  <c r="D31"/>
  <c r="F31"/>
  <c r="D32"/>
  <c r="F32"/>
  <c r="D33"/>
  <c r="F33"/>
  <c r="D34"/>
  <c r="F34"/>
  <c r="D35"/>
  <c r="F35"/>
  <c r="D36"/>
  <c r="F36"/>
  <c r="D37"/>
  <c r="F37"/>
  <c r="D38"/>
  <c r="F38"/>
  <c r="D39"/>
  <c r="F39"/>
  <c r="D40"/>
  <c r="F40"/>
  <c r="D41"/>
  <c r="F41"/>
  <c r="D42"/>
  <c r="F42"/>
  <c r="D43"/>
  <c r="F43"/>
  <c r="D44"/>
  <c r="F44"/>
  <c r="D45"/>
  <c r="F45"/>
  <c r="D46"/>
  <c r="F46"/>
  <c r="D47"/>
  <c r="F47"/>
  <c r="D48"/>
  <c r="F48"/>
  <c r="D49"/>
  <c r="F49"/>
  <c r="D50"/>
  <c r="F50"/>
  <c r="D51"/>
  <c r="F51"/>
  <c r="D52"/>
  <c r="F52"/>
  <c r="D53"/>
  <c r="F53"/>
  <c r="D54"/>
  <c r="F54"/>
  <c r="D55"/>
  <c r="F55"/>
  <c r="D56"/>
  <c r="F56"/>
  <c r="D57"/>
  <c r="F57"/>
  <c r="D58"/>
  <c r="F58"/>
  <c r="G58"/>
  <c r="H58"/>
  <c r="D59"/>
  <c r="F59"/>
  <c r="G59"/>
  <c r="H59"/>
  <c r="D64"/>
  <c r="B11" i="19"/>
  <c r="E10" s="1"/>
  <c r="C28" i="20" s="1"/>
  <c r="G14" i="19"/>
  <c r="D41"/>
  <c r="F41"/>
  <c r="D42"/>
  <c r="F42"/>
  <c r="D43"/>
  <c r="F43"/>
  <c r="D44"/>
  <c r="F44"/>
  <c r="D45"/>
  <c r="F45"/>
  <c r="D46"/>
  <c r="F46"/>
  <c r="D47"/>
  <c r="F47"/>
  <c r="D48"/>
  <c r="F48"/>
  <c r="D49"/>
  <c r="F49"/>
  <c r="D50"/>
  <c r="F50"/>
  <c r="D51"/>
  <c r="F51"/>
  <c r="D52"/>
  <c r="F52"/>
  <c r="D53"/>
  <c r="F53"/>
  <c r="D54"/>
  <c r="F54"/>
  <c r="D55"/>
  <c r="F55"/>
  <c r="D56"/>
  <c r="F56"/>
  <c r="D57"/>
  <c r="F57"/>
  <c r="D58"/>
  <c r="F58"/>
  <c r="D59"/>
  <c r="F59"/>
  <c r="D60"/>
  <c r="F60"/>
  <c r="D61"/>
  <c r="F61"/>
  <c r="D62"/>
  <c r="F62"/>
  <c r="G62"/>
  <c r="D63"/>
  <c r="F63"/>
  <c r="G63"/>
  <c r="D64"/>
  <c r="A8" i="20"/>
  <c r="A18"/>
  <c r="H28"/>
  <c r="B4" i="7"/>
  <c r="C4"/>
  <c r="C5"/>
  <c r="C6"/>
  <c r="D6" s="1"/>
  <c r="E6"/>
  <c r="C7"/>
  <c r="D7" s="1"/>
  <c r="E7"/>
  <c r="C8"/>
  <c r="D8" s="1"/>
  <c r="E8"/>
  <c r="C9"/>
  <c r="D9" s="1"/>
  <c r="E9"/>
  <c r="C10"/>
  <c r="D10" s="1"/>
  <c r="E10"/>
  <c r="D16"/>
  <c r="B17"/>
  <c r="D17" s="1"/>
  <c r="E17"/>
  <c r="E18"/>
  <c r="E34"/>
  <c r="B5"/>
  <c r="D5" s="1"/>
  <c r="H14" i="19"/>
  <c r="N10"/>
  <c r="F10"/>
  <c r="I14" i="16"/>
  <c r="AC10"/>
  <c r="AA10"/>
  <c r="Y10"/>
  <c r="W10"/>
  <c r="U10"/>
  <c r="S10"/>
  <c r="Q10"/>
  <c r="O10"/>
  <c r="M10"/>
  <c r="K10"/>
  <c r="I10"/>
  <c r="G10"/>
  <c r="E10"/>
  <c r="F11" s="1"/>
  <c r="AA10" i="19"/>
  <c r="Y10"/>
  <c r="W10"/>
  <c r="U10"/>
  <c r="S10"/>
  <c r="Q10"/>
  <c r="O10"/>
  <c r="M10"/>
  <c r="K10"/>
  <c r="I10"/>
  <c r="G10"/>
  <c r="AD10" i="16"/>
  <c r="AB10"/>
  <c r="Z10"/>
  <c r="X10"/>
  <c r="V10"/>
  <c r="T10"/>
  <c r="R10"/>
  <c r="P10"/>
  <c r="N10"/>
  <c r="L10"/>
  <c r="J10"/>
  <c r="H10"/>
  <c r="G11"/>
  <c r="J14"/>
  <c r="J59" s="1"/>
  <c r="I59"/>
  <c r="I14" i="19"/>
  <c r="J14" s="1"/>
  <c r="H62"/>
  <c r="H63"/>
  <c r="I62"/>
  <c r="J58" i="16"/>
  <c r="K14" i="19"/>
  <c r="J62"/>
  <c r="L14"/>
  <c r="M14" s="1"/>
  <c r="N14" s="1"/>
  <c r="N62" s="1"/>
  <c r="L14" i="36" l="1"/>
  <c r="K11"/>
  <c r="K56"/>
  <c r="K55"/>
  <c r="K25" i="34"/>
  <c r="J10"/>
  <c r="K31"/>
  <c r="K37"/>
  <c r="K35"/>
  <c r="K34"/>
  <c r="K28"/>
  <c r="K33"/>
  <c r="K36"/>
  <c r="K26"/>
  <c r="K27"/>
  <c r="I10"/>
  <c r="L14" i="35"/>
  <c r="K65"/>
  <c r="K64"/>
  <c r="L14" i="34"/>
  <c r="K11"/>
  <c r="K58"/>
  <c r="K57"/>
  <c r="K32" i="33"/>
  <c r="K24"/>
  <c r="K33"/>
  <c r="K25"/>
  <c r="K34"/>
  <c r="K26"/>
  <c r="K35"/>
  <c r="L35" s="1"/>
  <c r="K38"/>
  <c r="L38" s="1"/>
  <c r="K29"/>
  <c r="K39"/>
  <c r="L39" s="1"/>
  <c r="L14"/>
  <c r="K11"/>
  <c r="K49"/>
  <c r="K10"/>
  <c r="L14" i="32"/>
  <c r="K11"/>
  <c r="K59"/>
  <c r="K58"/>
  <c r="L14" i="31"/>
  <c r="K11"/>
  <c r="K59"/>
  <c r="K58"/>
  <c r="F11" i="27"/>
  <c r="C34" i="20"/>
  <c r="L14" i="30"/>
  <c r="K11"/>
  <c r="K59"/>
  <c r="K58"/>
  <c r="L14" i="29"/>
  <c r="K11"/>
  <c r="K59"/>
  <c r="K58"/>
  <c r="J58" i="28"/>
  <c r="J57"/>
  <c r="K14"/>
  <c r="J11"/>
  <c r="H11" i="26"/>
  <c r="F11"/>
  <c r="I14" i="27"/>
  <c r="I11" s="1"/>
  <c r="H11"/>
  <c r="J14"/>
  <c r="I57"/>
  <c r="G11" i="26"/>
  <c r="C33" i="20"/>
  <c r="G11" i="25"/>
  <c r="C32" i="20"/>
  <c r="G11" i="24"/>
  <c r="J14" i="26"/>
  <c r="I11"/>
  <c r="I59"/>
  <c r="I58"/>
  <c r="H11" i="25"/>
  <c r="F11"/>
  <c r="J14"/>
  <c r="I11"/>
  <c r="I59"/>
  <c r="I58"/>
  <c r="H55" i="24"/>
  <c r="H49"/>
  <c r="H37"/>
  <c r="H50"/>
  <c r="H45"/>
  <c r="I45" s="1"/>
  <c r="H40"/>
  <c r="H47"/>
  <c r="I47" s="1"/>
  <c r="H42"/>
  <c r="H56"/>
  <c r="I56" s="1"/>
  <c r="I14"/>
  <c r="H54"/>
  <c r="I54" s="1"/>
  <c r="H39"/>
  <c r="I39" s="1"/>
  <c r="H51"/>
  <c r="I51" s="1"/>
  <c r="H46"/>
  <c r="I46" s="1"/>
  <c r="H44"/>
  <c r="I44" s="1"/>
  <c r="H38"/>
  <c r="I38" s="1"/>
  <c r="H43"/>
  <c r="I43" s="1"/>
  <c r="H41"/>
  <c r="I41" s="1"/>
  <c r="H52"/>
  <c r="H10" s="1"/>
  <c r="F11"/>
  <c r="H11"/>
  <c r="C31" i="20"/>
  <c r="J14" i="24"/>
  <c r="I11"/>
  <c r="I52"/>
  <c r="G11" i="23"/>
  <c r="C30" i="20"/>
  <c r="D30" s="1"/>
  <c r="H11" i="23"/>
  <c r="F11"/>
  <c r="J14"/>
  <c r="I11"/>
  <c r="I59"/>
  <c r="I58"/>
  <c r="O10" i="22"/>
  <c r="G10"/>
  <c r="W10"/>
  <c r="K10"/>
  <c r="S10"/>
  <c r="AA10"/>
  <c r="E10"/>
  <c r="I10"/>
  <c r="M10"/>
  <c r="Q10"/>
  <c r="U10"/>
  <c r="Y10"/>
  <c r="F10"/>
  <c r="H10"/>
  <c r="J10"/>
  <c r="L10"/>
  <c r="N10"/>
  <c r="P10"/>
  <c r="R10"/>
  <c r="T10"/>
  <c r="V10"/>
  <c r="X10"/>
  <c r="Z10"/>
  <c r="AB10"/>
  <c r="H14"/>
  <c r="H59" s="1"/>
  <c r="J10" i="19"/>
  <c r="F11" i="22"/>
  <c r="I14"/>
  <c r="G58"/>
  <c r="H58"/>
  <c r="H11" i="16"/>
  <c r="R10" i="19"/>
  <c r="V10"/>
  <c r="AB10"/>
  <c r="H10"/>
  <c r="L10"/>
  <c r="P10"/>
  <c r="T10"/>
  <c r="X10"/>
  <c r="Z10"/>
  <c r="E5" i="7"/>
  <c r="J11" i="16"/>
  <c r="D4" i="7"/>
  <c r="I11" i="16"/>
  <c r="N11" i="19"/>
  <c r="N63"/>
  <c r="M11"/>
  <c r="M62"/>
  <c r="L11"/>
  <c r="L62"/>
  <c r="K11"/>
  <c r="K62"/>
  <c r="F11"/>
  <c r="G11"/>
  <c r="I11"/>
  <c r="H11"/>
  <c r="J11"/>
  <c r="J63"/>
  <c r="O14"/>
  <c r="M63"/>
  <c r="L63"/>
  <c r="K63"/>
  <c r="K14" i="16"/>
  <c r="I63" i="19"/>
  <c r="I58" i="16"/>
  <c r="B18" i="7"/>
  <c r="D11" i="16"/>
  <c r="D13" s="1"/>
  <c r="L56" i="36" l="1"/>
  <c r="L55"/>
  <c r="M14"/>
  <c r="L11"/>
  <c r="L25" i="34"/>
  <c r="K10"/>
  <c r="L27"/>
  <c r="L36"/>
  <c r="L28"/>
  <c r="L35"/>
  <c r="L31"/>
  <c r="L26"/>
  <c r="L33"/>
  <c r="L34"/>
  <c r="L37"/>
  <c r="L65" i="35"/>
  <c r="L64"/>
  <c r="M14"/>
  <c r="L58" i="34"/>
  <c r="L57"/>
  <c r="M14"/>
  <c r="L11"/>
  <c r="L34" i="33"/>
  <c r="L33"/>
  <c r="L32"/>
  <c r="L29"/>
  <c r="L26"/>
  <c r="L25"/>
  <c r="L24"/>
  <c r="L49"/>
  <c r="L10"/>
  <c r="M14"/>
  <c r="M28" s="1"/>
  <c r="L11"/>
  <c r="L59" i="32"/>
  <c r="L58"/>
  <c r="M14"/>
  <c r="L11"/>
  <c r="L59" i="31"/>
  <c r="L58"/>
  <c r="M14"/>
  <c r="L11"/>
  <c r="L59" i="30"/>
  <c r="L58"/>
  <c r="M14"/>
  <c r="L11"/>
  <c r="L59" i="29"/>
  <c r="L58"/>
  <c r="M14"/>
  <c r="L11"/>
  <c r="L14" i="28"/>
  <c r="K11"/>
  <c r="K58"/>
  <c r="K57"/>
  <c r="I56" i="27"/>
  <c r="J57"/>
  <c r="J56"/>
  <c r="K14"/>
  <c r="J11"/>
  <c r="J59" i="26"/>
  <c r="J58"/>
  <c r="K14"/>
  <c r="J11"/>
  <c r="J59" i="25"/>
  <c r="J58"/>
  <c r="K14"/>
  <c r="J11"/>
  <c r="I37" i="24"/>
  <c r="I55"/>
  <c r="I42"/>
  <c r="I40"/>
  <c r="I10" s="1"/>
  <c r="I50"/>
  <c r="I49"/>
  <c r="J53"/>
  <c r="J52"/>
  <c r="J10" s="1"/>
  <c r="K14"/>
  <c r="J11"/>
  <c r="J59" i="23"/>
  <c r="J58"/>
  <c r="K14"/>
  <c r="J11"/>
  <c r="G11" i="22"/>
  <c r="C29" i="20"/>
  <c r="H11" i="22"/>
  <c r="J14"/>
  <c r="I11"/>
  <c r="I59"/>
  <c r="I58"/>
  <c r="F13" i="16"/>
  <c r="H12" s="1"/>
  <c r="D18" i="7"/>
  <c r="B19"/>
  <c r="K11" i="16"/>
  <c r="K58"/>
  <c r="K59"/>
  <c r="L14"/>
  <c r="P14" i="19"/>
  <c r="O63"/>
  <c r="O11"/>
  <c r="O62"/>
  <c r="N14" i="36" l="1"/>
  <c r="M11"/>
  <c r="M56"/>
  <c r="M55"/>
  <c r="L10" i="34"/>
  <c r="N14" i="35"/>
  <c r="M11"/>
  <c r="M65"/>
  <c r="M64"/>
  <c r="N14" i="34"/>
  <c r="M11"/>
  <c r="M58"/>
  <c r="M57"/>
  <c r="M24" i="33"/>
  <c r="M26"/>
  <c r="M32"/>
  <c r="M34"/>
  <c r="M38"/>
  <c r="M25"/>
  <c r="M29"/>
  <c r="M33"/>
  <c r="M35"/>
  <c r="N14"/>
  <c r="M11"/>
  <c r="M49"/>
  <c r="M10"/>
  <c r="N14" i="32"/>
  <c r="M11"/>
  <c r="M59"/>
  <c r="M58"/>
  <c r="N14" i="31"/>
  <c r="M11"/>
  <c r="M59"/>
  <c r="M58"/>
  <c r="N14" i="30"/>
  <c r="M11"/>
  <c r="M59"/>
  <c r="M58"/>
  <c r="N14" i="29"/>
  <c r="M11"/>
  <c r="M59"/>
  <c r="M58"/>
  <c r="L58" i="28"/>
  <c r="L57"/>
  <c r="M14"/>
  <c r="L11"/>
  <c r="L14" i="27"/>
  <c r="K11"/>
  <c r="K57"/>
  <c r="K56"/>
  <c r="L14" i="26"/>
  <c r="K11"/>
  <c r="K59"/>
  <c r="K58"/>
  <c r="L14" i="25"/>
  <c r="K11"/>
  <c r="K59"/>
  <c r="K58"/>
  <c r="AC12" i="16"/>
  <c r="D29" i="20"/>
  <c r="L14" i="24"/>
  <c r="K11"/>
  <c r="K53"/>
  <c r="K52"/>
  <c r="L14" i="23"/>
  <c r="K11"/>
  <c r="K59"/>
  <c r="K58"/>
  <c r="P12" i="16"/>
  <c r="Z12"/>
  <c r="Y12"/>
  <c r="U12"/>
  <c r="AA12"/>
  <c r="V12"/>
  <c r="T12"/>
  <c r="W12"/>
  <c r="R12"/>
  <c r="J59" i="22"/>
  <c r="J58"/>
  <c r="K14"/>
  <c r="J11"/>
  <c r="AD12" i="16"/>
  <c r="Q12"/>
  <c r="AB12"/>
  <c r="M12"/>
  <c r="J12"/>
  <c r="O12"/>
  <c r="S12"/>
  <c r="X12"/>
  <c r="F12"/>
  <c r="I12"/>
  <c r="G12"/>
  <c r="N12"/>
  <c r="L12"/>
  <c r="K12"/>
  <c r="L58"/>
  <c r="L11"/>
  <c r="M14"/>
  <c r="L59"/>
  <c r="B20" i="7"/>
  <c r="D19"/>
  <c r="Q14" i="19"/>
  <c r="P63"/>
  <c r="P11"/>
  <c r="P62"/>
  <c r="N56" i="36" l="1"/>
  <c r="N55"/>
  <c r="O14"/>
  <c r="N11"/>
  <c r="N65" i="35"/>
  <c r="N64"/>
  <c r="O14"/>
  <c r="N11"/>
  <c r="N58" i="34"/>
  <c r="N57"/>
  <c r="O14"/>
  <c r="N11"/>
  <c r="N49" i="33"/>
  <c r="N48"/>
  <c r="N10" s="1"/>
  <c r="O14"/>
  <c r="N11"/>
  <c r="N59" i="32"/>
  <c r="N58"/>
  <c r="O14"/>
  <c r="N11"/>
  <c r="N59" i="31"/>
  <c r="N58"/>
  <c r="O14"/>
  <c r="N11"/>
  <c r="N59" i="30"/>
  <c r="N58"/>
  <c r="O14"/>
  <c r="N11"/>
  <c r="N59" i="29"/>
  <c r="N58"/>
  <c r="O14"/>
  <c r="N11"/>
  <c r="N14" i="28"/>
  <c r="M11"/>
  <c r="M58"/>
  <c r="M57"/>
  <c r="L57" i="27"/>
  <c r="L56"/>
  <c r="M14"/>
  <c r="L11"/>
  <c r="L59" i="26"/>
  <c r="L58"/>
  <c r="M14"/>
  <c r="L11"/>
  <c r="L59" i="25"/>
  <c r="L58"/>
  <c r="M14"/>
  <c r="L11"/>
  <c r="K10" i="24"/>
  <c r="G17" i="20"/>
  <c r="G4"/>
  <c r="L53" i="24"/>
  <c r="L52"/>
  <c r="M14"/>
  <c r="L11"/>
  <c r="L59" i="23"/>
  <c r="L58"/>
  <c r="M14"/>
  <c r="L11"/>
  <c r="L14" i="22"/>
  <c r="K11"/>
  <c r="K59"/>
  <c r="K58"/>
  <c r="R14" i="19"/>
  <c r="Q63"/>
  <c r="Q11"/>
  <c r="Q62"/>
  <c r="D20" i="7"/>
  <c r="B21"/>
  <c r="B22" s="1"/>
  <c r="M11" i="16"/>
  <c r="M58"/>
  <c r="M59"/>
  <c r="N14"/>
  <c r="P14" i="36" l="1"/>
  <c r="O11"/>
  <c r="O56"/>
  <c r="O55"/>
  <c r="P14" i="35"/>
  <c r="O11"/>
  <c r="O65"/>
  <c r="O64"/>
  <c r="P14" i="34"/>
  <c r="O11"/>
  <c r="O58"/>
  <c r="O57"/>
  <c r="P14" i="33"/>
  <c r="O11"/>
  <c r="O49"/>
  <c r="O48"/>
  <c r="O10" s="1"/>
  <c r="P14" i="32"/>
  <c r="O11"/>
  <c r="O59"/>
  <c r="O58"/>
  <c r="P14" i="31"/>
  <c r="O11"/>
  <c r="O59"/>
  <c r="O58"/>
  <c r="D22" i="7"/>
  <c r="B23"/>
  <c r="P14" i="30"/>
  <c r="O11"/>
  <c r="O59"/>
  <c r="O58"/>
  <c r="P14" i="29"/>
  <c r="O11"/>
  <c r="O59"/>
  <c r="O58"/>
  <c r="N58" i="28"/>
  <c r="N57"/>
  <c r="O14"/>
  <c r="N11"/>
  <c r="N14" i="27"/>
  <c r="M11"/>
  <c r="M57"/>
  <c r="M56"/>
  <c r="N14" i="26"/>
  <c r="M11"/>
  <c r="M59"/>
  <c r="M58"/>
  <c r="N14" i="25"/>
  <c r="M11"/>
  <c r="M59"/>
  <c r="M58"/>
  <c r="L10" i="24"/>
  <c r="G5" i="20"/>
  <c r="D10"/>
  <c r="N14" i="24"/>
  <c r="M11"/>
  <c r="M52"/>
  <c r="M10" s="1"/>
  <c r="N14" i="23"/>
  <c r="M11"/>
  <c r="M59"/>
  <c r="M58"/>
  <c r="L59" i="22"/>
  <c r="L58"/>
  <c r="M14"/>
  <c r="L11"/>
  <c r="S14" i="19"/>
  <c r="R62"/>
  <c r="R63"/>
  <c r="R11"/>
  <c r="N58" i="16"/>
  <c r="N11"/>
  <c r="O14"/>
  <c r="N59"/>
  <c r="D21" i="7"/>
  <c r="P56" i="36" l="1"/>
  <c r="P55"/>
  <c r="Q14"/>
  <c r="P11"/>
  <c r="P65" i="35"/>
  <c r="P64"/>
  <c r="Q14"/>
  <c r="P11"/>
  <c r="P58" i="34"/>
  <c r="P57"/>
  <c r="Q14"/>
  <c r="P11"/>
  <c r="P49" i="33"/>
  <c r="P48"/>
  <c r="P10" s="1"/>
  <c r="Q14"/>
  <c r="P11"/>
  <c r="P59" i="32"/>
  <c r="P58"/>
  <c r="Q14"/>
  <c r="P11"/>
  <c r="P59" i="31"/>
  <c r="P58"/>
  <c r="Q14"/>
  <c r="P11"/>
  <c r="D23" i="7"/>
  <c r="B24"/>
  <c r="P59" i="30"/>
  <c r="P58"/>
  <c r="Q14"/>
  <c r="P11"/>
  <c r="P59" i="29"/>
  <c r="P58"/>
  <c r="Q14"/>
  <c r="P11"/>
  <c r="P14" i="28"/>
  <c r="O11"/>
  <c r="O58"/>
  <c r="O57"/>
  <c r="N57" i="27"/>
  <c r="N56"/>
  <c r="O14"/>
  <c r="N11"/>
  <c r="N59" i="26"/>
  <c r="N58"/>
  <c r="O14"/>
  <c r="N11"/>
  <c r="N59" i="25"/>
  <c r="N58"/>
  <c r="O14"/>
  <c r="N11"/>
  <c r="P29" i="20"/>
  <c r="P45"/>
  <c r="P37"/>
  <c r="P50"/>
  <c r="P42"/>
  <c r="P34"/>
  <c r="P30"/>
  <c r="P47"/>
  <c r="P39"/>
  <c r="P31"/>
  <c r="P44"/>
  <c r="P36"/>
  <c r="P28"/>
  <c r="P49"/>
  <c r="P41"/>
  <c r="P33"/>
  <c r="P46"/>
  <c r="P38"/>
  <c r="P51"/>
  <c r="P43"/>
  <c r="P35"/>
  <c r="P48"/>
  <c r="P40"/>
  <c r="P32"/>
  <c r="D11"/>
  <c r="G6"/>
  <c r="D8" s="1"/>
  <c r="N53" i="24"/>
  <c r="N52"/>
  <c r="O14"/>
  <c r="N11"/>
  <c r="N59" i="23"/>
  <c r="N58"/>
  <c r="O14"/>
  <c r="N11"/>
  <c r="N14" i="22"/>
  <c r="M11"/>
  <c r="M59"/>
  <c r="M58"/>
  <c r="S11" i="19"/>
  <c r="S62"/>
  <c r="T14"/>
  <c r="S63"/>
  <c r="O11" i="16"/>
  <c r="O58"/>
  <c r="P14"/>
  <c r="O59"/>
  <c r="R14" i="36" l="1"/>
  <c r="Q11"/>
  <c r="Q56"/>
  <c r="Q55"/>
  <c r="R14" i="35"/>
  <c r="Q11"/>
  <c r="Q65"/>
  <c r="Q64"/>
  <c r="R14" i="34"/>
  <c r="Q11"/>
  <c r="Q58"/>
  <c r="Q57"/>
  <c r="R14" i="33"/>
  <c r="Q11"/>
  <c r="Q49"/>
  <c r="Q48"/>
  <c r="Q10" s="1"/>
  <c r="R14" i="32"/>
  <c r="Q11"/>
  <c r="Q59"/>
  <c r="Q58"/>
  <c r="R14" i="31"/>
  <c r="Q11"/>
  <c r="Q59"/>
  <c r="Q58"/>
  <c r="R14" i="30"/>
  <c r="Q11"/>
  <c r="Q59"/>
  <c r="Q58"/>
  <c r="R14" i="29"/>
  <c r="Q11"/>
  <c r="Q59"/>
  <c r="Q58"/>
  <c r="P58" i="28"/>
  <c r="P57"/>
  <c r="Q14"/>
  <c r="P11"/>
  <c r="P14" i="27"/>
  <c r="O11"/>
  <c r="O57"/>
  <c r="O56"/>
  <c r="P14" i="26"/>
  <c r="O11"/>
  <c r="O59"/>
  <c r="O58"/>
  <c r="P14" i="25"/>
  <c r="O11"/>
  <c r="O59"/>
  <c r="O58"/>
  <c r="N10" i="24"/>
  <c r="Q30" i="20"/>
  <c r="Q36"/>
  <c r="Q28"/>
  <c r="Q45"/>
  <c r="Q40"/>
  <c r="Q33"/>
  <c r="Q49"/>
  <c r="Q43"/>
  <c r="Q50"/>
  <c r="Q34"/>
  <c r="Q39"/>
  <c r="Q46"/>
  <c r="Q29"/>
  <c r="Q37"/>
  <c r="Q48"/>
  <c r="Q51"/>
  <c r="Q42"/>
  <c r="Q31"/>
  <c r="Q44"/>
  <c r="Q32"/>
  <c r="Q41"/>
  <c r="Q35"/>
  <c r="Q47"/>
  <c r="Q38"/>
  <c r="P14" i="24"/>
  <c r="O11"/>
  <c r="O53"/>
  <c r="O52"/>
  <c r="P14" i="23"/>
  <c r="O11"/>
  <c r="O59"/>
  <c r="O58"/>
  <c r="N59" i="22"/>
  <c r="N58"/>
  <c r="O14"/>
  <c r="N11"/>
  <c r="P59" i="16"/>
  <c r="Q14"/>
  <c r="P58"/>
  <c r="P11"/>
  <c r="T11" i="19"/>
  <c r="T62"/>
  <c r="T63"/>
  <c r="U14"/>
  <c r="R56" i="36" l="1"/>
  <c r="R55"/>
  <c r="S14"/>
  <c r="R11"/>
  <c r="R65" i="35"/>
  <c r="R64"/>
  <c r="S14"/>
  <c r="R11"/>
  <c r="R58" i="34"/>
  <c r="R57"/>
  <c r="S14"/>
  <c r="R11"/>
  <c r="R49" i="33"/>
  <c r="R48"/>
  <c r="R10" s="1"/>
  <c r="S14"/>
  <c r="R11"/>
  <c r="R59" i="32"/>
  <c r="R58"/>
  <c r="S14"/>
  <c r="R11"/>
  <c r="R59" i="31"/>
  <c r="R58"/>
  <c r="S14"/>
  <c r="R11"/>
  <c r="R59" i="30"/>
  <c r="R58"/>
  <c r="S14"/>
  <c r="R11"/>
  <c r="R59" i="29"/>
  <c r="R58"/>
  <c r="S14"/>
  <c r="R11"/>
  <c r="R14" i="28"/>
  <c r="Q11"/>
  <c r="Q58"/>
  <c r="Q57"/>
  <c r="P57" i="27"/>
  <c r="P56"/>
  <c r="Q14"/>
  <c r="P11"/>
  <c r="P59" i="26"/>
  <c r="P58"/>
  <c r="Q14"/>
  <c r="P11"/>
  <c r="P59" i="25"/>
  <c r="P58"/>
  <c r="Q14"/>
  <c r="P11"/>
  <c r="O10" i="24"/>
  <c r="P53"/>
  <c r="P52"/>
  <c r="P10" s="1"/>
  <c r="Q14"/>
  <c r="P11"/>
  <c r="P59" i="23"/>
  <c r="P58"/>
  <c r="Q14"/>
  <c r="P11"/>
  <c r="P14" i="22"/>
  <c r="O11"/>
  <c r="O59"/>
  <c r="O58"/>
  <c r="V14" i="19"/>
  <c r="U63"/>
  <c r="U62"/>
  <c r="U11"/>
  <c r="R14" i="16"/>
  <c r="Q59"/>
  <c r="Q11"/>
  <c r="Q58"/>
  <c r="E24" i="7"/>
  <c r="D24"/>
  <c r="B25"/>
  <c r="T14" i="36" l="1"/>
  <c r="S11"/>
  <c r="S56"/>
  <c r="S55"/>
  <c r="T14" i="35"/>
  <c r="S11"/>
  <c r="S65"/>
  <c r="S64"/>
  <c r="T14" i="34"/>
  <c r="S11"/>
  <c r="S58"/>
  <c r="S57"/>
  <c r="T14" i="33"/>
  <c r="S11"/>
  <c r="S49"/>
  <c r="S48"/>
  <c r="S10" s="1"/>
  <c r="T14" i="32"/>
  <c r="S11"/>
  <c r="S59"/>
  <c r="S58"/>
  <c r="T14" i="31"/>
  <c r="S11"/>
  <c r="S59"/>
  <c r="S58"/>
  <c r="T14" i="30"/>
  <c r="S11"/>
  <c r="S59"/>
  <c r="S58"/>
  <c r="T14" i="29"/>
  <c r="S11"/>
  <c r="S59"/>
  <c r="S58"/>
  <c r="R58" i="28"/>
  <c r="R57"/>
  <c r="S14"/>
  <c r="R11"/>
  <c r="R14" i="27"/>
  <c r="Q11"/>
  <c r="Q57"/>
  <c r="Q56"/>
  <c r="R14" i="26"/>
  <c r="Q11"/>
  <c r="Q59"/>
  <c r="Q58"/>
  <c r="R14" i="25"/>
  <c r="Q11"/>
  <c r="Q59"/>
  <c r="Q58"/>
  <c r="R14" i="24"/>
  <c r="Q11"/>
  <c r="Q53"/>
  <c r="Q52"/>
  <c r="R14" i="23"/>
  <c r="Q11"/>
  <c r="Q59"/>
  <c r="Q58"/>
  <c r="P59" i="22"/>
  <c r="P58"/>
  <c r="Q14"/>
  <c r="P11"/>
  <c r="E25" i="7"/>
  <c r="E4" s="1"/>
  <c r="D3" i="20" s="1"/>
  <c r="B26" i="7"/>
  <c r="D25"/>
  <c r="R59" i="16"/>
  <c r="S14"/>
  <c r="R58"/>
  <c r="R11"/>
  <c r="W14" i="19"/>
  <c r="V62"/>
  <c r="V11"/>
  <c r="V63"/>
  <c r="T56" i="36" l="1"/>
  <c r="T55"/>
  <c r="U14"/>
  <c r="T11"/>
  <c r="T65" i="35"/>
  <c r="T64"/>
  <c r="U14"/>
  <c r="T11"/>
  <c r="T58" i="34"/>
  <c r="T57"/>
  <c r="U14"/>
  <c r="T11"/>
  <c r="T49" i="33"/>
  <c r="T48"/>
  <c r="T10" s="1"/>
  <c r="U14"/>
  <c r="T11"/>
  <c r="T59" i="32"/>
  <c r="T58"/>
  <c r="U14"/>
  <c r="T11"/>
  <c r="T59" i="31"/>
  <c r="T58"/>
  <c r="U14"/>
  <c r="T11"/>
  <c r="B28" i="20"/>
  <c r="D16"/>
  <c r="D17"/>
  <c r="D15"/>
  <c r="T59" i="30"/>
  <c r="T58"/>
  <c r="U14"/>
  <c r="T11"/>
  <c r="T59" i="29"/>
  <c r="T58"/>
  <c r="U14"/>
  <c r="T11"/>
  <c r="E28" i="20"/>
  <c r="F28"/>
  <c r="B29"/>
  <c r="T14" i="28"/>
  <c r="S11"/>
  <c r="S58"/>
  <c r="S57"/>
  <c r="R57" i="27"/>
  <c r="R56"/>
  <c r="S14"/>
  <c r="R11"/>
  <c r="R59" i="26"/>
  <c r="R58"/>
  <c r="S14"/>
  <c r="R11"/>
  <c r="R59" i="25"/>
  <c r="R58"/>
  <c r="S14"/>
  <c r="R11"/>
  <c r="Q10" i="24"/>
  <c r="R53"/>
  <c r="R52"/>
  <c r="R10" s="1"/>
  <c r="S14"/>
  <c r="R11"/>
  <c r="R59" i="23"/>
  <c r="R58"/>
  <c r="S14"/>
  <c r="R11"/>
  <c r="R14" i="22"/>
  <c r="Q11"/>
  <c r="Q59"/>
  <c r="Q58"/>
  <c r="T14" i="16"/>
  <c r="S59"/>
  <c r="S58"/>
  <c r="S11"/>
  <c r="X14" i="19"/>
  <c r="W63"/>
  <c r="W11"/>
  <c r="W62"/>
  <c r="B27" i="7"/>
  <c r="D26"/>
  <c r="V14" i="36" l="1"/>
  <c r="U11"/>
  <c r="U56"/>
  <c r="U55"/>
  <c r="V14" i="35"/>
  <c r="U11"/>
  <c r="U65"/>
  <c r="U64"/>
  <c r="V14" i="34"/>
  <c r="U11"/>
  <c r="U58"/>
  <c r="U57"/>
  <c r="V14" i="33"/>
  <c r="U11"/>
  <c r="U49"/>
  <c r="U48"/>
  <c r="U10" s="1"/>
  <c r="V14" i="32"/>
  <c r="U11"/>
  <c r="U59"/>
  <c r="U58"/>
  <c r="V14" i="31"/>
  <c r="U11"/>
  <c r="U59"/>
  <c r="U58"/>
  <c r="V14" i="30"/>
  <c r="U11"/>
  <c r="U59"/>
  <c r="U58"/>
  <c r="V14" i="29"/>
  <c r="U11"/>
  <c r="U59"/>
  <c r="U58"/>
  <c r="E29" i="20"/>
  <c r="I29"/>
  <c r="H29" s="1"/>
  <c r="F29"/>
  <c r="B30"/>
  <c r="I30" s="1"/>
  <c r="K28"/>
  <c r="G28"/>
  <c r="T58" i="28"/>
  <c r="T57"/>
  <c r="U14"/>
  <c r="T11"/>
  <c r="T14" i="27"/>
  <c r="S11"/>
  <c r="S57"/>
  <c r="S56"/>
  <c r="T14" i="26"/>
  <c r="S11"/>
  <c r="S59"/>
  <c r="S58"/>
  <c r="T14" i="25"/>
  <c r="S11"/>
  <c r="S59"/>
  <c r="S58"/>
  <c r="T14" i="24"/>
  <c r="S11"/>
  <c r="S53"/>
  <c r="S52"/>
  <c r="T14" i="23"/>
  <c r="S11"/>
  <c r="S59"/>
  <c r="S58"/>
  <c r="R59" i="22"/>
  <c r="R58"/>
  <c r="S14"/>
  <c r="R11"/>
  <c r="B28" i="7"/>
  <c r="D27"/>
  <c r="Y14" i="19"/>
  <c r="X63"/>
  <c r="X62"/>
  <c r="X11"/>
  <c r="T58" i="16"/>
  <c r="T11"/>
  <c r="T59"/>
  <c r="U14"/>
  <c r="V56" i="36" l="1"/>
  <c r="V55"/>
  <c r="W14"/>
  <c r="V11"/>
  <c r="V65" i="35"/>
  <c r="V64"/>
  <c r="W14"/>
  <c r="V11"/>
  <c r="B29" i="7"/>
  <c r="D29" s="1"/>
  <c r="V58" i="34"/>
  <c r="V57"/>
  <c r="W14"/>
  <c r="V11"/>
  <c r="V49" i="33"/>
  <c r="V48"/>
  <c r="V10" s="1"/>
  <c r="W14"/>
  <c r="V11"/>
  <c r="V59" i="32"/>
  <c r="V58"/>
  <c r="W14"/>
  <c r="V11"/>
  <c r="V59" i="31"/>
  <c r="V58"/>
  <c r="W14"/>
  <c r="V11"/>
  <c r="V59" i="30"/>
  <c r="V58"/>
  <c r="W14"/>
  <c r="V11"/>
  <c r="V59" i="29"/>
  <c r="V58"/>
  <c r="W14"/>
  <c r="V11"/>
  <c r="G29" i="20"/>
  <c r="K29"/>
  <c r="E30"/>
  <c r="F30"/>
  <c r="B31"/>
  <c r="V14" i="28"/>
  <c r="U11"/>
  <c r="U58"/>
  <c r="U57"/>
  <c r="T57" i="27"/>
  <c r="T56"/>
  <c r="U14"/>
  <c r="T11"/>
  <c r="T59" i="26"/>
  <c r="T58"/>
  <c r="U14"/>
  <c r="T11"/>
  <c r="T59" i="25"/>
  <c r="T58"/>
  <c r="U14"/>
  <c r="T11"/>
  <c r="S10" i="24"/>
  <c r="T53"/>
  <c r="T52"/>
  <c r="T10" s="1"/>
  <c r="U14"/>
  <c r="T11"/>
  <c r="T59" i="23"/>
  <c r="T58"/>
  <c r="U14"/>
  <c r="T11"/>
  <c r="T14" i="22"/>
  <c r="S11"/>
  <c r="S59"/>
  <c r="S58"/>
  <c r="U11" i="16"/>
  <c r="U58"/>
  <c r="U59"/>
  <c r="V14"/>
  <c r="Z14" i="19"/>
  <c r="Y63"/>
  <c r="Y62"/>
  <c r="Y11"/>
  <c r="D28" i="7"/>
  <c r="X14" i="36" l="1"/>
  <c r="W11"/>
  <c r="W56"/>
  <c r="W55"/>
  <c r="X14" i="35"/>
  <c r="W11"/>
  <c r="W65"/>
  <c r="W64"/>
  <c r="X14" i="34"/>
  <c r="W11"/>
  <c r="W58"/>
  <c r="W57"/>
  <c r="X14" i="33"/>
  <c r="W11"/>
  <c r="W49"/>
  <c r="W48"/>
  <c r="W10" s="1"/>
  <c r="X14" i="32"/>
  <c r="W11"/>
  <c r="W59"/>
  <c r="W58"/>
  <c r="X14" i="31"/>
  <c r="W11"/>
  <c r="W59"/>
  <c r="W58"/>
  <c r="X14" i="30"/>
  <c r="W11"/>
  <c r="W59"/>
  <c r="W58"/>
  <c r="X14" i="29"/>
  <c r="W11"/>
  <c r="W59"/>
  <c r="W58"/>
  <c r="E31" i="20"/>
  <c r="B32"/>
  <c r="F31"/>
  <c r="I31"/>
  <c r="H31" s="1"/>
  <c r="G30"/>
  <c r="K30"/>
  <c r="V58" i="28"/>
  <c r="V57"/>
  <c r="W14"/>
  <c r="V11"/>
  <c r="V14" i="27"/>
  <c r="U11"/>
  <c r="U57"/>
  <c r="U56"/>
  <c r="V14" i="26"/>
  <c r="U11"/>
  <c r="U59"/>
  <c r="U58"/>
  <c r="V14" i="25"/>
  <c r="U11"/>
  <c r="U59"/>
  <c r="U58"/>
  <c r="V14" i="24"/>
  <c r="U11"/>
  <c r="U53"/>
  <c r="U52"/>
  <c r="V14" i="23"/>
  <c r="U11"/>
  <c r="U59"/>
  <c r="U58"/>
  <c r="T59" i="22"/>
  <c r="T58"/>
  <c r="U14"/>
  <c r="T11"/>
  <c r="AA14" i="19"/>
  <c r="Z62"/>
  <c r="Z11"/>
  <c r="Z63"/>
  <c r="V59" i="16"/>
  <c r="W14"/>
  <c r="V11"/>
  <c r="V58"/>
  <c r="X56" i="36" l="1"/>
  <c r="X55"/>
  <c r="Y14"/>
  <c r="X11"/>
  <c r="X65" i="35"/>
  <c r="X64"/>
  <c r="Y14"/>
  <c r="X11"/>
  <c r="X58" i="34"/>
  <c r="X57"/>
  <c r="Y14"/>
  <c r="X11"/>
  <c r="X49" i="33"/>
  <c r="X48"/>
  <c r="X10" s="1"/>
  <c r="Y14"/>
  <c r="X11"/>
  <c r="X59" i="32"/>
  <c r="X58"/>
  <c r="Y14"/>
  <c r="X11"/>
  <c r="X59" i="31"/>
  <c r="X58"/>
  <c r="Y14"/>
  <c r="X11"/>
  <c r="X59" i="30"/>
  <c r="X58"/>
  <c r="Y14"/>
  <c r="X11"/>
  <c r="X59" i="29"/>
  <c r="X58"/>
  <c r="Y14"/>
  <c r="X11"/>
  <c r="G31" i="20"/>
  <c r="K31"/>
  <c r="B33"/>
  <c r="F32"/>
  <c r="I32"/>
  <c r="H32" s="1"/>
  <c r="E32"/>
  <c r="X14" i="28"/>
  <c r="W11"/>
  <c r="W58"/>
  <c r="W57"/>
  <c r="V57" i="27"/>
  <c r="V56"/>
  <c r="W14"/>
  <c r="V11"/>
  <c r="V59" i="26"/>
  <c r="V58"/>
  <c r="W14"/>
  <c r="V11"/>
  <c r="V59" i="25"/>
  <c r="V58"/>
  <c r="W14"/>
  <c r="V11"/>
  <c r="U10" i="24"/>
  <c r="V53"/>
  <c r="V52"/>
  <c r="V10" s="1"/>
  <c r="W14"/>
  <c r="V11"/>
  <c r="V59" i="23"/>
  <c r="V58"/>
  <c r="W14"/>
  <c r="V11"/>
  <c r="V14" i="22"/>
  <c r="U11"/>
  <c r="U59"/>
  <c r="U58"/>
  <c r="X14" i="16"/>
  <c r="W59"/>
  <c r="W58"/>
  <c r="W11"/>
  <c r="AB14" i="19"/>
  <c r="AA63"/>
  <c r="AA11"/>
  <c r="AA62"/>
  <c r="Z14" i="36" l="1"/>
  <c r="Y11"/>
  <c r="Y56"/>
  <c r="Y55"/>
  <c r="Z14" i="35"/>
  <c r="Y11"/>
  <c r="Y65"/>
  <c r="Y64"/>
  <c r="Z14" i="34"/>
  <c r="Y11"/>
  <c r="Y58"/>
  <c r="Y57"/>
  <c r="Z14" i="33"/>
  <c r="Y11"/>
  <c r="Y49"/>
  <c r="Y48"/>
  <c r="Y10" s="1"/>
  <c r="Z14" i="32"/>
  <c r="Y11"/>
  <c r="Y59"/>
  <c r="Y58"/>
  <c r="Z14" i="31"/>
  <c r="Y11"/>
  <c r="Y59"/>
  <c r="Y58"/>
  <c r="Z14" i="30"/>
  <c r="Y11"/>
  <c r="Y59"/>
  <c r="Y58"/>
  <c r="Z14" i="29"/>
  <c r="Y11"/>
  <c r="Y59"/>
  <c r="Y58"/>
  <c r="E33" i="20"/>
  <c r="B34"/>
  <c r="B35" s="1"/>
  <c r="I33"/>
  <c r="H33" s="1"/>
  <c r="F33"/>
  <c r="G32"/>
  <c r="K32"/>
  <c r="X58" i="28"/>
  <c r="X57"/>
  <c r="Y14"/>
  <c r="X11"/>
  <c r="X14" i="27"/>
  <c r="W11"/>
  <c r="W57"/>
  <c r="W56"/>
  <c r="X14" i="26"/>
  <c r="W11"/>
  <c r="W59"/>
  <c r="W58"/>
  <c r="X14" i="25"/>
  <c r="W11"/>
  <c r="W59"/>
  <c r="W58"/>
  <c r="X14" i="24"/>
  <c r="W11"/>
  <c r="W53"/>
  <c r="W52"/>
  <c r="X14" i="23"/>
  <c r="W11"/>
  <c r="W59"/>
  <c r="W58"/>
  <c r="V59" i="22"/>
  <c r="V58"/>
  <c r="W14"/>
  <c r="V11"/>
  <c r="AC14" i="19"/>
  <c r="AB63"/>
  <c r="AB11"/>
  <c r="AB62"/>
  <c r="X59" i="16"/>
  <c r="Y14"/>
  <c r="X58"/>
  <c r="X11"/>
  <c r="Z56" i="36" l="1"/>
  <c r="Z55"/>
  <c r="AA14"/>
  <c r="Z11"/>
  <c r="Z65" i="35"/>
  <c r="Z64"/>
  <c r="AA14"/>
  <c r="Z11"/>
  <c r="Z58" i="34"/>
  <c r="Z57"/>
  <c r="AA14"/>
  <c r="Z11"/>
  <c r="Z49" i="33"/>
  <c r="Z48"/>
  <c r="Z10" s="1"/>
  <c r="AA14"/>
  <c r="Z11"/>
  <c r="Z59" i="32"/>
  <c r="Z58"/>
  <c r="AA14"/>
  <c r="Z11"/>
  <c r="Z59" i="31"/>
  <c r="Z58"/>
  <c r="AA14"/>
  <c r="Z11"/>
  <c r="B36" i="20"/>
  <c r="B37" s="1"/>
  <c r="E35"/>
  <c r="E34"/>
  <c r="Z59" i="30"/>
  <c r="Z58"/>
  <c r="AA14"/>
  <c r="Z11"/>
  <c r="Z59" i="29"/>
  <c r="Z58"/>
  <c r="AA14"/>
  <c r="Z11"/>
  <c r="G33" i="20"/>
  <c r="K33"/>
  <c r="I34"/>
  <c r="F34"/>
  <c r="Z14" i="28"/>
  <c r="Y11"/>
  <c r="Y58"/>
  <c r="Y57"/>
  <c r="X57" i="27"/>
  <c r="X56"/>
  <c r="Y14"/>
  <c r="X11"/>
  <c r="X59" i="26"/>
  <c r="X58"/>
  <c r="Y14"/>
  <c r="X11"/>
  <c r="X59" i="25"/>
  <c r="X58"/>
  <c r="Y14"/>
  <c r="X11"/>
  <c r="W10" i="24"/>
  <c r="X53"/>
  <c r="X52"/>
  <c r="X10" s="1"/>
  <c r="Y14"/>
  <c r="X11"/>
  <c r="X59" i="23"/>
  <c r="X58"/>
  <c r="Y14"/>
  <c r="X11"/>
  <c r="X14" i="22"/>
  <c r="W11"/>
  <c r="W59"/>
  <c r="W58"/>
  <c r="AD14" i="19"/>
  <c r="AC20"/>
  <c r="AC22"/>
  <c r="AC24"/>
  <c r="AC27"/>
  <c r="AC29"/>
  <c r="AC31"/>
  <c r="AC33"/>
  <c r="AC36"/>
  <c r="AC17"/>
  <c r="AC21"/>
  <c r="AC26"/>
  <c r="AC30"/>
  <c r="AC34"/>
  <c r="AC38"/>
  <c r="AC40"/>
  <c r="AC42"/>
  <c r="AC44"/>
  <c r="AC46"/>
  <c r="AC48"/>
  <c r="AC50"/>
  <c r="AC52"/>
  <c r="AC54"/>
  <c r="AC56"/>
  <c r="AC58"/>
  <c r="AC60"/>
  <c r="AC62"/>
  <c r="AC19"/>
  <c r="AC28"/>
  <c r="AC37"/>
  <c r="AC41"/>
  <c r="AC45"/>
  <c r="AC47"/>
  <c r="AC51"/>
  <c r="AC55"/>
  <c r="AC59"/>
  <c r="AC63"/>
  <c r="AC11"/>
  <c r="AC23"/>
  <c r="AC32"/>
  <c r="AC39"/>
  <c r="AC43"/>
  <c r="AC49"/>
  <c r="AC53"/>
  <c r="AC57"/>
  <c r="AC61"/>
  <c r="Z14" i="16"/>
  <c r="Y59"/>
  <c r="Y58"/>
  <c r="Y11"/>
  <c r="AB14" i="36" l="1"/>
  <c r="AA11"/>
  <c r="AA56"/>
  <c r="AA55"/>
  <c r="AB14" i="35"/>
  <c r="AA11"/>
  <c r="AA65"/>
  <c r="AA64"/>
  <c r="AB14" i="34"/>
  <c r="AA11"/>
  <c r="AA58"/>
  <c r="AA57"/>
  <c r="AB14" i="33"/>
  <c r="AA11"/>
  <c r="AA49"/>
  <c r="AA48"/>
  <c r="AA10" s="1"/>
  <c r="AB14" i="32"/>
  <c r="AA11"/>
  <c r="AA59"/>
  <c r="AA58"/>
  <c r="AB14" i="31"/>
  <c r="AA11"/>
  <c r="AA59"/>
  <c r="AA58"/>
  <c r="E36" i="20"/>
  <c r="E37"/>
  <c r="B38"/>
  <c r="AB14" i="30"/>
  <c r="AA11"/>
  <c r="AA59"/>
  <c r="AA58"/>
  <c r="AB14" i="29"/>
  <c r="AA11"/>
  <c r="AA59"/>
  <c r="AA58"/>
  <c r="F35" i="20"/>
  <c r="K34"/>
  <c r="G34"/>
  <c r="H34"/>
  <c r="I35"/>
  <c r="Z58" i="28"/>
  <c r="Z57"/>
  <c r="AA14"/>
  <c r="Z11"/>
  <c r="Z14" i="27"/>
  <c r="Y11"/>
  <c r="Y57"/>
  <c r="Y56"/>
  <c r="Z14" i="26"/>
  <c r="Y11"/>
  <c r="Y59"/>
  <c r="Y58"/>
  <c r="Z14" i="25"/>
  <c r="Y11"/>
  <c r="Y59"/>
  <c r="Y58"/>
  <c r="Z14" i="24"/>
  <c r="Y11"/>
  <c r="Y53"/>
  <c r="Y52"/>
  <c r="Z14" i="23"/>
  <c r="Y11"/>
  <c r="Y59"/>
  <c r="Y58"/>
  <c r="X59" i="22"/>
  <c r="X58"/>
  <c r="Y14"/>
  <c r="X11"/>
  <c r="AC10" i="19"/>
  <c r="Z59" i="16"/>
  <c r="AA14"/>
  <c r="Z11"/>
  <c r="Z58"/>
  <c r="AD17" i="19"/>
  <c r="AD19"/>
  <c r="AD21"/>
  <c r="AD23"/>
  <c r="AD26"/>
  <c r="AD28"/>
  <c r="AD30"/>
  <c r="AD32"/>
  <c r="AD34"/>
  <c r="AD37"/>
  <c r="AD39"/>
  <c r="AD41"/>
  <c r="AD43"/>
  <c r="AD45"/>
  <c r="AD47"/>
  <c r="AD49"/>
  <c r="AD51"/>
  <c r="AD53"/>
  <c r="AD55"/>
  <c r="AD57"/>
  <c r="AD59"/>
  <c r="AD61"/>
  <c r="AD62"/>
  <c r="AD11"/>
  <c r="AD20"/>
  <c r="AD22"/>
  <c r="AD24"/>
  <c r="AD27"/>
  <c r="AD29"/>
  <c r="AD31"/>
  <c r="AD33"/>
  <c r="AD36"/>
  <c r="AD38"/>
  <c r="AD42"/>
  <c r="AD44"/>
  <c r="AD48"/>
  <c r="AD50"/>
  <c r="AD54"/>
  <c r="AD58"/>
  <c r="AD63"/>
  <c r="AD40"/>
  <c r="AD46"/>
  <c r="AD52"/>
  <c r="AD56"/>
  <c r="AD60"/>
  <c r="AB56" i="36" l="1"/>
  <c r="AB55"/>
  <c r="AC14"/>
  <c r="AB11"/>
  <c r="AB65" i="35"/>
  <c r="AB64"/>
  <c r="AC14"/>
  <c r="AB11"/>
  <c r="AB58" i="34"/>
  <c r="AB57"/>
  <c r="AC14"/>
  <c r="AB11"/>
  <c r="AB49" i="33"/>
  <c r="AB48"/>
  <c r="AB10" s="1"/>
  <c r="AC14"/>
  <c r="AB11"/>
  <c r="AB59" i="32"/>
  <c r="AB58"/>
  <c r="AC14"/>
  <c r="AB11"/>
  <c r="AB59" i="31"/>
  <c r="AB58"/>
  <c r="AC14"/>
  <c r="AB11"/>
  <c r="H35" i="20"/>
  <c r="I36"/>
  <c r="F36"/>
  <c r="E38"/>
  <c r="B39"/>
  <c r="AB59" i="30"/>
  <c r="AB58"/>
  <c r="AC14"/>
  <c r="AB11"/>
  <c r="AB59" i="29"/>
  <c r="AB58"/>
  <c r="AC14"/>
  <c r="AB11"/>
  <c r="G35" i="20"/>
  <c r="K35"/>
  <c r="AB14" i="28"/>
  <c r="AA11"/>
  <c r="AA58"/>
  <c r="AA57"/>
  <c r="Z57" i="27"/>
  <c r="Z56"/>
  <c r="AA14"/>
  <c r="Z11"/>
  <c r="Z59" i="26"/>
  <c r="Z58"/>
  <c r="AA14"/>
  <c r="Z11"/>
  <c r="Z59" i="25"/>
  <c r="Z58"/>
  <c r="AA14"/>
  <c r="Z11"/>
  <c r="Y10" i="24"/>
  <c r="Z53"/>
  <c r="Z52"/>
  <c r="Z10" s="1"/>
  <c r="AA14"/>
  <c r="Z11"/>
  <c r="Z59" i="23"/>
  <c r="Z58"/>
  <c r="AA14"/>
  <c r="Z11"/>
  <c r="Z14" i="22"/>
  <c r="Y11"/>
  <c r="Y59"/>
  <c r="Y58"/>
  <c r="AD10" i="19"/>
  <c r="D11" s="1"/>
  <c r="F13" s="1"/>
  <c r="AB14" i="16"/>
  <c r="AA59"/>
  <c r="AA11"/>
  <c r="AA58"/>
  <c r="AD14" i="36" l="1"/>
  <c r="AC11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35"/>
  <c r="AC11"/>
  <c r="AC65"/>
  <c r="AC64"/>
  <c r="AC63"/>
  <c r="AC62"/>
  <c r="AC61"/>
  <c r="AC60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2"/>
  <c r="AC21"/>
  <c r="AC16"/>
  <c r="AD14" i="34"/>
  <c r="AC11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33"/>
  <c r="AC11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32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31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H36" i="20"/>
  <c r="F37"/>
  <c r="I37"/>
  <c r="G36"/>
  <c r="K36"/>
  <c r="E39"/>
  <c r="B40"/>
  <c r="G3"/>
  <c r="AD14" i="30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29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B58" i="28"/>
  <c r="AB57"/>
  <c r="AC14"/>
  <c r="AB11"/>
  <c r="AB14" i="27"/>
  <c r="AA11"/>
  <c r="AA57"/>
  <c r="AA56"/>
  <c r="AB14" i="26"/>
  <c r="AA11"/>
  <c r="AA59"/>
  <c r="AA58"/>
  <c r="AB14" i="25"/>
  <c r="AA11"/>
  <c r="AA59"/>
  <c r="AA58"/>
  <c r="AB14" i="24"/>
  <c r="AA11"/>
  <c r="AA53"/>
  <c r="AA52"/>
  <c r="AB14" i="23"/>
  <c r="AA11"/>
  <c r="AA59"/>
  <c r="AA58"/>
  <c r="Z59" i="22"/>
  <c r="Z58"/>
  <c r="AA14"/>
  <c r="Z11"/>
  <c r="D13" i="19"/>
  <c r="M12" s="1"/>
  <c r="AB59" i="16"/>
  <c r="AC14"/>
  <c r="AB58"/>
  <c r="AB11"/>
  <c r="AC10" i="36" l="1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1"/>
  <c r="AD65" i="35"/>
  <c r="AD64"/>
  <c r="AD63"/>
  <c r="AD62"/>
  <c r="AD61"/>
  <c r="AD6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2"/>
  <c r="AD21"/>
  <c r="AD16"/>
  <c r="AD11"/>
  <c r="F38" i="20"/>
  <c r="I38"/>
  <c r="AC10" i="34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AD11"/>
  <c r="AC10" i="33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1"/>
  <c r="AC10" i="32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1"/>
  <c r="AC10" i="31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D11" s="1"/>
  <c r="AD11"/>
  <c r="H37" i="20"/>
  <c r="K37"/>
  <c r="G37"/>
  <c r="D9"/>
  <c r="D18"/>
  <c r="D21"/>
  <c r="G19"/>
  <c r="G20"/>
  <c r="D20"/>
  <c r="E40"/>
  <c r="B41"/>
  <c r="AC10" i="30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D11" s="1"/>
  <c r="AD11"/>
  <c r="AC10" i="29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D11" s="1"/>
  <c r="AD11"/>
  <c r="AD14" i="28"/>
  <c r="AC11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B57" i="27"/>
  <c r="AB56"/>
  <c r="AC14"/>
  <c r="AB11"/>
  <c r="AB59" i="26"/>
  <c r="AB58"/>
  <c r="AC14"/>
  <c r="AB11"/>
  <c r="AB59" i="25"/>
  <c r="AB58"/>
  <c r="AC14"/>
  <c r="AB11"/>
  <c r="AA10" i="24"/>
  <c r="AB53"/>
  <c r="AB52"/>
  <c r="AB10" s="1"/>
  <c r="AC14"/>
  <c r="AB11"/>
  <c r="AB59" i="23"/>
  <c r="AB58"/>
  <c r="AC14"/>
  <c r="AB11"/>
  <c r="AB14" i="22"/>
  <c r="AA11"/>
  <c r="AA59"/>
  <c r="AA58"/>
  <c r="W12" i="19"/>
  <c r="R12"/>
  <c r="G12"/>
  <c r="AD12"/>
  <c r="H12"/>
  <c r="K12"/>
  <c r="Q12"/>
  <c r="S12"/>
  <c r="V12"/>
  <c r="O12"/>
  <c r="P12"/>
  <c r="F12"/>
  <c r="AB12"/>
  <c r="L12"/>
  <c r="Z12"/>
  <c r="AA12"/>
  <c r="N12"/>
  <c r="X12"/>
  <c r="I12"/>
  <c r="AC12"/>
  <c r="Y12"/>
  <c r="U12"/>
  <c r="J12"/>
  <c r="T12"/>
  <c r="AD14" i="16"/>
  <c r="AC17"/>
  <c r="AC19"/>
  <c r="AC21"/>
  <c r="AC23"/>
  <c r="AC25"/>
  <c r="AC27"/>
  <c r="AC29"/>
  <c r="AC31"/>
  <c r="AC33"/>
  <c r="AC35"/>
  <c r="AC37"/>
  <c r="AC39"/>
  <c r="AC41"/>
  <c r="AC43"/>
  <c r="AC45"/>
  <c r="AC47"/>
  <c r="AC49"/>
  <c r="AC51"/>
  <c r="AC53"/>
  <c r="AC55"/>
  <c r="AC57"/>
  <c r="AC59"/>
  <c r="AC16"/>
  <c r="AC20"/>
  <c r="AC24"/>
  <c r="AC28"/>
  <c r="AC32"/>
  <c r="AC36"/>
  <c r="AC40"/>
  <c r="AC44"/>
  <c r="AC48"/>
  <c r="AC52"/>
  <c r="AC56"/>
  <c r="AC11"/>
  <c r="AC18"/>
  <c r="AC26"/>
  <c r="AC30"/>
  <c r="AC38"/>
  <c r="AC46"/>
  <c r="AC50"/>
  <c r="AC58"/>
  <c r="AC22"/>
  <c r="AC34"/>
  <c r="AC42"/>
  <c r="AC54"/>
  <c r="AD10" i="36" l="1"/>
  <c r="D11" s="1"/>
  <c r="D11" i="34"/>
  <c r="D13" s="1"/>
  <c r="H38" i="20"/>
  <c r="I39"/>
  <c r="F39"/>
  <c r="K38"/>
  <c r="G38"/>
  <c r="AD10" i="33"/>
  <c r="D11" s="1"/>
  <c r="AD10" i="32"/>
  <c r="D11" s="1"/>
  <c r="D13" s="1"/>
  <c r="D13" i="31"/>
  <c r="T12" s="1"/>
  <c r="F13"/>
  <c r="O39" i="20"/>
  <c r="O31"/>
  <c r="O46"/>
  <c r="D23"/>
  <c r="O45"/>
  <c r="O43"/>
  <c r="O32"/>
  <c r="O35"/>
  <c r="D24"/>
  <c r="O33"/>
  <c r="O42"/>
  <c r="O34"/>
  <c r="O28"/>
  <c r="O49"/>
  <c r="D19"/>
  <c r="O29"/>
  <c r="O40"/>
  <c r="O51"/>
  <c r="O36"/>
  <c r="O41"/>
  <c r="O47"/>
  <c r="O37"/>
  <c r="O50"/>
  <c r="O38"/>
  <c r="O30"/>
  <c r="O48"/>
  <c r="O44"/>
  <c r="B42"/>
  <c r="E41"/>
  <c r="F13" i="30"/>
  <c r="D13"/>
  <c r="D13" i="29"/>
  <c r="Q12" s="1"/>
  <c r="F13"/>
  <c r="AC10" i="28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1"/>
  <c r="AC15" i="27"/>
  <c r="AC20"/>
  <c r="AC19"/>
  <c r="AC18"/>
  <c r="AD14"/>
  <c r="AC11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D14" i="26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25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7"/>
  <c r="AC36"/>
  <c r="AC35"/>
  <c r="AD14" i="24"/>
  <c r="AC11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D14" i="23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B59" i="22"/>
  <c r="AB58"/>
  <c r="AC14"/>
  <c r="AB11"/>
  <c r="AD16" i="16"/>
  <c r="AD18"/>
  <c r="AD20"/>
  <c r="AD22"/>
  <c r="AD24"/>
  <c r="AD26"/>
  <c r="AD28"/>
  <c r="AD30"/>
  <c r="AD32"/>
  <c r="AD34"/>
  <c r="AD36"/>
  <c r="AD38"/>
  <c r="AD40"/>
  <c r="AD42"/>
  <c r="AD44"/>
  <c r="AD46"/>
  <c r="AD48"/>
  <c r="AD50"/>
  <c r="AD52"/>
  <c r="AD54"/>
  <c r="AD56"/>
  <c r="AD58"/>
  <c r="AD11"/>
  <c r="AD19"/>
  <c r="AD21"/>
  <c r="AD25"/>
  <c r="AD29"/>
  <c r="AD33"/>
  <c r="AD37"/>
  <c r="AD41"/>
  <c r="AD45"/>
  <c r="AD49"/>
  <c r="AD53"/>
  <c r="AD57"/>
  <c r="AD17"/>
  <c r="AD23"/>
  <c r="AD27"/>
  <c r="AD31"/>
  <c r="AD35"/>
  <c r="AD39"/>
  <c r="AD43"/>
  <c r="AD47"/>
  <c r="AD51"/>
  <c r="AD55"/>
  <c r="AD59"/>
  <c r="F13" i="34" l="1"/>
  <c r="F13" i="36"/>
  <c r="D13"/>
  <c r="M12" i="34"/>
  <c r="F40" i="20"/>
  <c r="I40"/>
  <c r="N12" i="34"/>
  <c r="H39" i="20"/>
  <c r="I12" i="34"/>
  <c r="K39" i="20"/>
  <c r="G39"/>
  <c r="X12" i="34"/>
  <c r="F12"/>
  <c r="T12"/>
  <c r="Y12"/>
  <c r="H12"/>
  <c r="G12"/>
  <c r="AA12"/>
  <c r="P12"/>
  <c r="R12"/>
  <c r="K12"/>
  <c r="AC12"/>
  <c r="AD12"/>
  <c r="W12"/>
  <c r="Q12"/>
  <c r="O12"/>
  <c r="AB12"/>
  <c r="Z12"/>
  <c r="S12"/>
  <c r="L12"/>
  <c r="U12"/>
  <c r="J12"/>
  <c r="V12"/>
  <c r="D13" i="33"/>
  <c r="L12" s="1"/>
  <c r="F13"/>
  <c r="F13" i="32"/>
  <c r="P12"/>
  <c r="M12"/>
  <c r="T12"/>
  <c r="V12"/>
  <c r="X12"/>
  <c r="G12"/>
  <c r="I12"/>
  <c r="AD12"/>
  <c r="L12"/>
  <c r="N12"/>
  <c r="H12"/>
  <c r="S12"/>
  <c r="W12"/>
  <c r="J12"/>
  <c r="O12"/>
  <c r="AB12"/>
  <c r="U12"/>
  <c r="AC12"/>
  <c r="K12"/>
  <c r="Z12"/>
  <c r="Q12"/>
  <c r="F12"/>
  <c r="AA12"/>
  <c r="R12"/>
  <c r="Y12"/>
  <c r="Q12" i="31"/>
  <c r="J12"/>
  <c r="M12"/>
  <c r="R12"/>
  <c r="AD12"/>
  <c r="AB12"/>
  <c r="V12"/>
  <c r="K12"/>
  <c r="G12"/>
  <c r="W12"/>
  <c r="S12"/>
  <c r="Z12"/>
  <c r="P12"/>
  <c r="F12"/>
  <c r="AA12"/>
  <c r="I12"/>
  <c r="H12"/>
  <c r="U12"/>
  <c r="AC12"/>
  <c r="N12"/>
  <c r="L12"/>
  <c r="Y12"/>
  <c r="X12"/>
  <c r="O12"/>
  <c r="M12" i="29"/>
  <c r="W12"/>
  <c r="K12"/>
  <c r="AD12" i="30"/>
  <c r="N12" i="29"/>
  <c r="U12"/>
  <c r="T12" i="30"/>
  <c r="Z12"/>
  <c r="U12"/>
  <c r="V12"/>
  <c r="N12"/>
  <c r="R12"/>
  <c r="P12"/>
  <c r="I12"/>
  <c r="B43" i="20"/>
  <c r="F42"/>
  <c r="E42"/>
  <c r="I42"/>
  <c r="H42" s="1"/>
  <c r="R12" i="29"/>
  <c r="S12"/>
  <c r="AB12"/>
  <c r="Z12"/>
  <c r="H12"/>
  <c r="AB12" i="30"/>
  <c r="L12"/>
  <c r="AC12"/>
  <c r="M12"/>
  <c r="AA12"/>
  <c r="X12"/>
  <c r="H12"/>
  <c r="Y12"/>
  <c r="K12"/>
  <c r="O12"/>
  <c r="AC12" i="29"/>
  <c r="P12"/>
  <c r="I12"/>
  <c r="Y12"/>
  <c r="T12"/>
  <c r="O12"/>
  <c r="J12"/>
  <c r="X12"/>
  <c r="G12"/>
  <c r="F12" i="30"/>
  <c r="Q12"/>
  <c r="J12"/>
  <c r="S12"/>
  <c r="G12"/>
  <c r="W12"/>
  <c r="V12" i="29"/>
  <c r="F12"/>
  <c r="AD12"/>
  <c r="L12"/>
  <c r="AA12"/>
  <c r="AD10" i="28"/>
  <c r="D11" s="1"/>
  <c r="D13" s="1"/>
  <c r="AC10" i="27"/>
  <c r="AD15"/>
  <c r="AD19"/>
  <c r="AD18"/>
  <c r="AD20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11"/>
  <c r="AC10" i="26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AD11"/>
  <c r="AC10" i="25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7"/>
  <c r="AD36"/>
  <c r="AD35"/>
  <c r="AD11"/>
  <c r="AC10" i="2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1"/>
  <c r="AC10" i="23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0" s="1"/>
  <c r="AD11"/>
  <c r="AD14" i="22"/>
  <c r="AC11"/>
  <c r="AC59"/>
  <c r="AC58"/>
  <c r="AC57"/>
  <c r="AC56"/>
  <c r="AC55"/>
  <c r="AC54"/>
  <c r="AC53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19"/>
  <c r="AC18"/>
  <c r="AC17"/>
  <c r="AC16"/>
  <c r="AC15"/>
  <c r="S12" i="36" l="1"/>
  <c r="I12"/>
  <c r="W12"/>
  <c r="AD12"/>
  <c r="N12" i="33"/>
  <c r="R12" i="36"/>
  <c r="AC12"/>
  <c r="AB12"/>
  <c r="L12"/>
  <c r="N12"/>
  <c r="Y12"/>
  <c r="X12"/>
  <c r="AA12"/>
  <c r="K12"/>
  <c r="H12"/>
  <c r="O12"/>
  <c r="Z12"/>
  <c r="J12"/>
  <c r="U12"/>
  <c r="T12"/>
  <c r="M12"/>
  <c r="V12"/>
  <c r="F12"/>
  <c r="Q12"/>
  <c r="P12"/>
  <c r="G12"/>
  <c r="D11" i="23"/>
  <c r="F13" s="1"/>
  <c r="D11" i="26"/>
  <c r="D13" s="1"/>
  <c r="H40" i="20"/>
  <c r="F41"/>
  <c r="I41"/>
  <c r="K40"/>
  <c r="G40"/>
  <c r="AD12" i="33"/>
  <c r="T12"/>
  <c r="H12"/>
  <c r="S12"/>
  <c r="Z12"/>
  <c r="M12"/>
  <c r="R12"/>
  <c r="AA12"/>
  <c r="Y12"/>
  <c r="J12"/>
  <c r="AC12"/>
  <c r="W12"/>
  <c r="F12"/>
  <c r="AB12"/>
  <c r="U12"/>
  <c r="K12"/>
  <c r="G12"/>
  <c r="Q12"/>
  <c r="X12"/>
  <c r="O12"/>
  <c r="V12"/>
  <c r="I12"/>
  <c r="P12"/>
  <c r="I43" i="20"/>
  <c r="H43" s="1"/>
  <c r="E43"/>
  <c r="F43"/>
  <c r="B44"/>
  <c r="K42"/>
  <c r="G42"/>
  <c r="F13" i="28"/>
  <c r="F12" s="1"/>
  <c r="AD12"/>
  <c r="X12"/>
  <c r="Q12"/>
  <c r="L12"/>
  <c r="R12"/>
  <c r="K12"/>
  <c r="O12"/>
  <c r="AB12"/>
  <c r="V12"/>
  <c r="AC12"/>
  <c r="H12"/>
  <c r="S12"/>
  <c r="G12"/>
  <c r="T12"/>
  <c r="N12"/>
  <c r="J12"/>
  <c r="P12"/>
  <c r="W12"/>
  <c r="M12"/>
  <c r="I12"/>
  <c r="AA12"/>
  <c r="Y12"/>
  <c r="Z12"/>
  <c r="U12"/>
  <c r="AD10" i="27"/>
  <c r="D11" s="1"/>
  <c r="AD10" i="25"/>
  <c r="D11" s="1"/>
  <c r="D13" s="1"/>
  <c r="AD10" i="24"/>
  <c r="D11" s="1"/>
  <c r="D13" s="1"/>
  <c r="D13" i="23"/>
  <c r="O12" s="1"/>
  <c r="AC10" i="22"/>
  <c r="AD59"/>
  <c r="AD58"/>
  <c r="AD57"/>
  <c r="AD56"/>
  <c r="AD55"/>
  <c r="AD54"/>
  <c r="AD53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19"/>
  <c r="AD18"/>
  <c r="AD17"/>
  <c r="AD16"/>
  <c r="AD15"/>
  <c r="AD11"/>
  <c r="F13" i="26" l="1"/>
  <c r="H41" i="20"/>
  <c r="N33"/>
  <c r="N49"/>
  <c r="N50"/>
  <c r="N31"/>
  <c r="N29"/>
  <c r="N44"/>
  <c r="N37"/>
  <c r="N42"/>
  <c r="N46"/>
  <c r="N40"/>
  <c r="N36"/>
  <c r="N39"/>
  <c r="N41"/>
  <c r="N32"/>
  <c r="N35"/>
  <c r="N34"/>
  <c r="N38"/>
  <c r="N51"/>
  <c r="N48"/>
  <c r="N28"/>
  <c r="N45"/>
  <c r="N47"/>
  <c r="N30"/>
  <c r="N43"/>
  <c r="G41"/>
  <c r="K41"/>
  <c r="G43"/>
  <c r="K43"/>
  <c r="F44"/>
  <c r="I44"/>
  <c r="H44" s="1"/>
  <c r="B45"/>
  <c r="E44"/>
  <c r="F13" i="27"/>
  <c r="D13"/>
  <c r="I12" s="1"/>
  <c r="N12" i="26"/>
  <c r="W12"/>
  <c r="AA12"/>
  <c r="AA12" i="23"/>
  <c r="O12" i="26"/>
  <c r="Y12"/>
  <c r="K12"/>
  <c r="AD12"/>
  <c r="S12"/>
  <c r="G12"/>
  <c r="I12"/>
  <c r="P12"/>
  <c r="R12"/>
  <c r="AC12"/>
  <c r="M12"/>
  <c r="T12"/>
  <c r="V12"/>
  <c r="F12"/>
  <c r="Q12"/>
  <c r="X12"/>
  <c r="H12"/>
  <c r="Z12"/>
  <c r="J12"/>
  <c r="U12"/>
  <c r="AB12"/>
  <c r="L12"/>
  <c r="F13" i="25"/>
  <c r="W12" s="1"/>
  <c r="X12"/>
  <c r="V12"/>
  <c r="R12"/>
  <c r="K12"/>
  <c r="L12"/>
  <c r="AC12"/>
  <c r="H12"/>
  <c r="M12"/>
  <c r="AB12"/>
  <c r="O12"/>
  <c r="Z12"/>
  <c r="J12"/>
  <c r="U12"/>
  <c r="P12"/>
  <c r="S12"/>
  <c r="Q12"/>
  <c r="AD12"/>
  <c r="N12"/>
  <c r="Y12"/>
  <c r="T12"/>
  <c r="AA12"/>
  <c r="G12"/>
  <c r="F13" i="24"/>
  <c r="U12" s="1"/>
  <c r="AA12"/>
  <c r="R12"/>
  <c r="M12"/>
  <c r="V12"/>
  <c r="S12"/>
  <c r="X12"/>
  <c r="U12" i="23"/>
  <c r="V12"/>
  <c r="Z12"/>
  <c r="S12"/>
  <c r="L12"/>
  <c r="J12"/>
  <c r="P12"/>
  <c r="W12"/>
  <c r="AD12"/>
  <c r="Q12"/>
  <c r="R12"/>
  <c r="AC12"/>
  <c r="X12"/>
  <c r="H12"/>
  <c r="K12"/>
  <c r="M12"/>
  <c r="N12"/>
  <c r="I12"/>
  <c r="F12"/>
  <c r="AB12"/>
  <c r="Y12"/>
  <c r="G12"/>
  <c r="T12"/>
  <c r="AD10" i="22"/>
  <c r="D11" s="1"/>
  <c r="F13" s="1"/>
  <c r="L38" i="20" l="1"/>
  <c r="L47"/>
  <c r="L37"/>
  <c r="L29"/>
  <c r="L46"/>
  <c r="L33"/>
  <c r="L32"/>
  <c r="L50"/>
  <c r="L48"/>
  <c r="L30"/>
  <c r="M30" s="1"/>
  <c r="L35"/>
  <c r="L39"/>
  <c r="L34"/>
  <c r="L45"/>
  <c r="L44"/>
  <c r="L31"/>
  <c r="L49"/>
  <c r="M49" s="1"/>
  <c r="L43"/>
  <c r="L40"/>
  <c r="L42"/>
  <c r="L51"/>
  <c r="L41"/>
  <c r="L28"/>
  <c r="M28" s="1"/>
  <c r="L36"/>
  <c r="I45"/>
  <c r="H45" s="1"/>
  <c r="F45"/>
  <c r="B46"/>
  <c r="E45"/>
  <c r="G44"/>
  <c r="K44"/>
  <c r="G12" i="27"/>
  <c r="M12"/>
  <c r="L12"/>
  <c r="R12"/>
  <c r="K12"/>
  <c r="Z12"/>
  <c r="F12"/>
  <c r="AD12"/>
  <c r="AC12"/>
  <c r="T12"/>
  <c r="O12"/>
  <c r="V12"/>
  <c r="Q12"/>
  <c r="H12"/>
  <c r="J12"/>
  <c r="AB12"/>
  <c r="AA12"/>
  <c r="Y12"/>
  <c r="X12"/>
  <c r="U12"/>
  <c r="N12"/>
  <c r="S12"/>
  <c r="W12"/>
  <c r="P12"/>
  <c r="F12" i="25"/>
  <c r="I12"/>
  <c r="N12" i="24"/>
  <c r="Q12"/>
  <c r="AD12"/>
  <c r="AB12"/>
  <c r="T12"/>
  <c r="G12"/>
  <c r="H12"/>
  <c r="Y12"/>
  <c r="O12"/>
  <c r="P12"/>
  <c r="F12"/>
  <c r="I12"/>
  <c r="W12"/>
  <c r="L12"/>
  <c r="AC12"/>
  <c r="K12"/>
  <c r="J12"/>
  <c r="Z12"/>
  <c r="D13" i="22"/>
  <c r="X12" s="1"/>
  <c r="M31" i="20" l="1"/>
  <c r="M36"/>
  <c r="M39"/>
  <c r="M51"/>
  <c r="M40"/>
  <c r="M34"/>
  <c r="M48"/>
  <c r="M41"/>
  <c r="M44"/>
  <c r="M35"/>
  <c r="M32"/>
  <c r="M46"/>
  <c r="M37"/>
  <c r="M38"/>
  <c r="M42"/>
  <c r="M43"/>
  <c r="M45"/>
  <c r="M50"/>
  <c r="M33"/>
  <c r="M29"/>
  <c r="M47"/>
  <c r="I46"/>
  <c r="H46" s="1"/>
  <c r="F46"/>
  <c r="E46"/>
  <c r="B47"/>
  <c r="G45"/>
  <c r="K45"/>
  <c r="U12" i="22"/>
  <c r="Y12"/>
  <c r="G12"/>
  <c r="S12"/>
  <c r="V12"/>
  <c r="H12"/>
  <c r="W12"/>
  <c r="N12"/>
  <c r="Z12"/>
  <c r="T12"/>
  <c r="F12"/>
  <c r="L12"/>
  <c r="P12"/>
  <c r="I12"/>
  <c r="AC12"/>
  <c r="AB12"/>
  <c r="Q12"/>
  <c r="M12"/>
  <c r="R12"/>
  <c r="K12"/>
  <c r="O12"/>
  <c r="J12"/>
  <c r="AD12"/>
  <c r="AA12"/>
  <c r="D22" i="20" l="1"/>
  <c r="D12"/>
  <c r="G9"/>
  <c r="I47"/>
  <c r="H47" s="1"/>
  <c r="B48"/>
  <c r="E47"/>
  <c r="F47"/>
  <c r="K46"/>
  <c r="G46"/>
  <c r="G47" l="1"/>
  <c r="K47"/>
  <c r="I48"/>
  <c r="H48" s="1"/>
  <c r="F48"/>
  <c r="E48"/>
  <c r="B49"/>
  <c r="E49" l="1"/>
  <c r="F49"/>
  <c r="B50"/>
  <c r="I49"/>
  <c r="H49" s="1"/>
  <c r="K48"/>
  <c r="G48"/>
  <c r="B51" l="1"/>
  <c r="E50"/>
  <c r="F50"/>
  <c r="I50"/>
  <c r="H50" s="1"/>
  <c r="G49"/>
  <c r="K49"/>
  <c r="G50" l="1"/>
  <c r="K50"/>
  <c r="E51"/>
  <c r="I51"/>
  <c r="H51" s="1"/>
  <c r="F51"/>
  <c r="G51" l="1"/>
  <c r="K51"/>
  <c r="F19" i="35"/>
  <c r="AC19"/>
  <c r="AD19"/>
  <c r="F20"/>
  <c r="AC20"/>
  <c r="AD20"/>
  <c r="E10"/>
  <c r="K11" s="1"/>
  <c r="F18"/>
  <c r="AD18"/>
  <c r="AC18"/>
  <c r="AC17"/>
  <c r="AC10" s="1"/>
  <c r="AD17"/>
  <c r="AD10" s="1"/>
  <c r="F17"/>
  <c r="F10" s="1"/>
  <c r="D11" l="1"/>
  <c r="F13" s="1"/>
  <c r="H11"/>
  <c r="J11"/>
  <c r="F11"/>
  <c r="I11"/>
  <c r="L11"/>
  <c r="G11"/>
  <c r="D13" l="1"/>
  <c r="G12" s="1"/>
  <c r="AC12" l="1"/>
  <c r="V12"/>
  <c r="L12"/>
  <c r="AD12"/>
  <c r="W12"/>
  <c r="N12"/>
  <c r="K12"/>
  <c r="J12"/>
  <c r="M12"/>
  <c r="U12"/>
  <c r="X12"/>
  <c r="T12"/>
  <c r="I12"/>
  <c r="H12"/>
  <c r="R12"/>
  <c r="O12"/>
  <c r="Q12"/>
  <c r="Y12"/>
  <c r="AB12"/>
  <c r="P12"/>
  <c r="AA12"/>
  <c r="F12"/>
  <c r="Z12"/>
  <c r="S1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8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9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0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1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2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5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6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7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8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19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<sst xmlns="http://schemas.openxmlformats.org/spreadsheetml/2006/main" count="1603" uniqueCount="294">
  <si>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</si>
  <si>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</si>
  <si>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</si>
  <si>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</si>
  <si>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</si>
  <si>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</si>
  <si>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</si>
  <si>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</si>
  <si>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</si>
  <si>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</si>
  <si>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</si>
  <si>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</si>
  <si>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</si>
  <si>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</si>
  <si>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</si>
  <si>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</si>
  <si>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</si>
  <si>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</si>
  <si>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</si>
  <si>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</si>
  <si>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</si>
  <si>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</si>
  <si>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</si>
  <si>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</si>
  <si>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</si>
  <si>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</si>
  <si>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</si>
  <si>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</si>
  <si>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</si>
  <si>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</si>
  <si>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</si>
  <si>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</si>
  <si>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</si>
  <si>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</si>
  <si>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</si>
  <si>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</si>
  <si>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</si>
  <si>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</si>
  <si>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</si>
  <si>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</si>
  <si>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</si>
  <si>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</si>
  <si>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</si>
  <si>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</si>
  <si>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</si>
  <si>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</si>
  <si>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</si>
  <si>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</si>
  <si>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</si>
  <si>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</si>
  <si>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</si>
  <si>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</si>
  <si>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</si>
  <si>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</si>
  <si>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</si>
  <si>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</si>
  <si>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</si>
  <si>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</si>
  <si>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</si>
  <si>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</si>
  <si>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</si>
  <si>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</si>
  <si>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</si>
  <si>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</si>
  <si>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</si>
  <si>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</si>
  <si>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</si>
  <si>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</si>
  <si>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</si>
  <si>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</si>
  <si>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</si>
  <si>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</si>
  <si>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</si>
  <si>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</si>
  <si>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</si>
  <si>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Done</t>
  </si>
  <si>
    <t>Ongoing</t>
  </si>
  <si>
    <t>This is a removed story</t>
  </si>
  <si>
    <t>Removed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</si>
  <si>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</si>
  <si>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</si>
  <si>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</si>
  <si>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</si>
  <si>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</si>
  <si>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</si>
  <si>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</si>
  <si>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</si>
  <si>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</si>
  <si>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</si>
  <si>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</si>
  <si>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</si>
  <si>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</si>
  <si>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</si>
  <si>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</si>
  <si>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Design &amp; Sign-off on Architecture, Infrastructure,</t>
  </si>
  <si>
    <t>In principle agreement on approach and infrastructure</t>
  </si>
  <si>
    <t>Select Hosting Provider</t>
  </si>
  <si>
    <t>Review Questionnaire tool</t>
  </si>
  <si>
    <t>Leo</t>
  </si>
  <si>
    <t>Draft Infrastructure &amp; Architecture proposal</t>
  </si>
  <si>
    <t xml:space="preserve">Install Questionnaire tool (LimeSurvey) </t>
  </si>
  <si>
    <t>Install CMS (Joomla)</t>
  </si>
  <si>
    <t>Create EpiQ in LimeSurvey</t>
  </si>
  <si>
    <t>Create feedback questionnaire</t>
  </si>
  <si>
    <t>Belinda</t>
  </si>
  <si>
    <t>Find suitable hosting vendors and propose</t>
  </si>
  <si>
    <t>Select hosting vendor and start implementaton of infrastructure</t>
  </si>
  <si>
    <t>Testing of EpiQ in the hosting site</t>
  </si>
  <si>
    <t>Go-Live with epiQ</t>
  </si>
  <si>
    <t>Implement infrastructure</t>
  </si>
  <si>
    <t>Implement EpiQ</t>
  </si>
  <si>
    <t>This is here for completeness only. Please ignore</t>
  </si>
  <si>
    <t>Brightlabs Requirement specification</t>
  </si>
  <si>
    <t>Delivery of Requirements Document</t>
  </si>
  <si>
    <t>BrightLabs</t>
  </si>
  <si>
    <t>Delivery of Requiremnts Matrix</t>
  </si>
  <si>
    <t>Delivery of Recommendations</t>
  </si>
  <si>
    <t>Present Infrastructure &amp; Architecture proposal</t>
  </si>
  <si>
    <t>Customize Questionnaire tool (Look and Feel)</t>
  </si>
  <si>
    <t xml:space="preserve">Design Interface between ASI &amp; Questionnaire tool </t>
  </si>
  <si>
    <t>Get certificate for new site</t>
  </si>
  <si>
    <t>Setup site similar to Register4 in Joomla</t>
  </si>
  <si>
    <t>Leo, Lisa</t>
  </si>
  <si>
    <t>High</t>
  </si>
  <si>
    <t>Medium</t>
  </si>
  <si>
    <t>Released</t>
  </si>
  <si>
    <t>Implement intermediate Register4 site</t>
  </si>
  <si>
    <t>Get quotes for intermediate Register4 site</t>
  </si>
  <si>
    <t>Get Quote for Interface between ASI &amp; Questionnaire tool</t>
  </si>
  <si>
    <t>Investigate data quality checks on questionnaire input</t>
  </si>
  <si>
    <t>iServices</t>
  </si>
  <si>
    <t>Review Brightlabs spec and recommendation</t>
  </si>
  <si>
    <t>Implement EpiQ on Australian site</t>
  </si>
  <si>
    <t>Test EpiQ site</t>
  </si>
  <si>
    <t>Lisa</t>
  </si>
  <si>
    <t>Review Feedback on Test</t>
  </si>
  <si>
    <t>Document Zettagrid Infrastructure</t>
  </si>
  <si>
    <t>Mark (Contractor)</t>
  </si>
  <si>
    <t>Complete iMIS pages for Consent</t>
  </si>
  <si>
    <t>Complete Interface from iMIS to EpiQ</t>
  </si>
  <si>
    <t>Create 'Blocking' page for EpiQ</t>
  </si>
  <si>
    <t>Move flash to EpiQ site</t>
  </si>
  <si>
    <t>Prepare Carole's flash video</t>
  </si>
  <si>
    <t>Stress test of EpiQ site</t>
  </si>
  <si>
    <t>Resolve iMIS password reminder problem</t>
  </si>
  <si>
    <t>ASI</t>
  </si>
  <si>
    <t>Test Joomla</t>
  </si>
  <si>
    <t>Template for EpiQ</t>
  </si>
  <si>
    <t>Contractor</t>
  </si>
  <si>
    <t xml:space="preserve">Internal Security assessment of the EpiQ site </t>
  </si>
  <si>
    <t>Create Final version of Questions</t>
  </si>
  <si>
    <t>Create Labels in line with Data Dictionary</t>
  </si>
  <si>
    <t>Implement new labels with final questions</t>
  </si>
  <si>
    <t>Stress, Capacity test</t>
  </si>
  <si>
    <t>Backups</t>
  </si>
  <si>
    <t>Test Interface from Register4 to EpiQ</t>
  </si>
  <si>
    <t>Verify and Review data collection from people who tested the EpiQ</t>
  </si>
  <si>
    <t>Sign off on Changes to the Register4 site</t>
  </si>
  <si>
    <t>Test final version of EpiQ</t>
  </si>
  <si>
    <t>Sign-off final version of EpiQ</t>
  </si>
  <si>
    <t>Refresh/clean EpiQ site</t>
  </si>
  <si>
    <t>Install final EpiQ version</t>
  </si>
  <si>
    <t>define formal LimeSurvey security (i.e who has what access) via the Web Interface</t>
  </si>
  <si>
    <t>Finalise Interface from Register4 to EpiQ</t>
  </si>
  <si>
    <t>Define email to members</t>
  </si>
  <si>
    <t>Decide on when to send emails</t>
  </si>
  <si>
    <t>decide how many member to target/email</t>
  </si>
  <si>
    <t>smtp server setup and testing</t>
  </si>
  <si>
    <t>Agree on cut-off date (ie. This is the date after changes will delay the launch</t>
  </si>
  <si>
    <t>Document Workflow for EpiQ particpants</t>
  </si>
  <si>
    <t xml:space="preserve">Implement LimeSurvey Security </t>
  </si>
  <si>
    <t>Online username reminder</t>
  </si>
  <si>
    <t>Video (Carole)</t>
  </si>
  <si>
    <t>Data Quality (Upper/lower limits)</t>
  </si>
  <si>
    <t>Change Workflow on Register4 site</t>
  </si>
  <si>
    <t>Check that we have latest PLS and Consent</t>
  </si>
  <si>
    <t>Final Test and Signoff</t>
  </si>
  <si>
    <t>Change Sarah's video from embedded to Youtube</t>
  </si>
  <si>
    <t>Leo, Dave</t>
  </si>
  <si>
    <t>Send member emails</t>
  </si>
  <si>
    <t>Dave</t>
  </si>
  <si>
    <t>Extract member emails</t>
  </si>
  <si>
    <t/>
  </si>
  <si>
    <t>Document EpiQ and Interface Internals</t>
  </si>
  <si>
    <t>Go-Live with epiQ (Prepare)</t>
  </si>
  <si>
    <t>Restore Backups and test</t>
  </si>
  <si>
    <t>Automate copying of backups</t>
  </si>
  <si>
    <t>Find suitable member module for Joomla</t>
  </si>
  <si>
    <t>Review wireframes</t>
  </si>
  <si>
    <t>Lisa, Belinda</t>
  </si>
  <si>
    <t>Review EpiQ security in line with US findings</t>
  </si>
  <si>
    <t>Templates for Joomla</t>
  </si>
  <si>
    <t>Evaluate Home page options</t>
  </si>
  <si>
    <t>Lisa, leo</t>
  </si>
  <si>
    <t>Find Contractor for Template</t>
  </si>
  <si>
    <t>Define Project plan for CMS implementation</t>
  </si>
  <si>
    <t>Review CMS and member member Management needs</t>
  </si>
  <si>
    <t>Workshop with Digital Garden</t>
  </si>
  <si>
    <t>All</t>
  </si>
  <si>
    <t>Build Prototype site</t>
  </si>
  <si>
    <t>Custom Fields and Member Forms Prototype</t>
  </si>
  <si>
    <t>CMS User Training</t>
  </si>
  <si>
    <t>Lisa, Leo</t>
  </si>
  <si>
    <t>Lisa, Belinda, :ep</t>
  </si>
  <si>
    <t>Protyping CMS and Wireframes, Evaluate member transfer options</t>
  </si>
  <si>
    <t>Security Matrix for EpiQ</t>
  </si>
  <si>
    <t>Project plan for CMS implementation</t>
  </si>
  <si>
    <t>Project plan for membership implementation</t>
  </si>
  <si>
    <t>EpiQ feedback</t>
  </si>
  <si>
    <t>CMS Prototyping</t>
  </si>
  <si>
    <t>Data Cleansing</t>
  </si>
  <si>
    <t>Evaluation of Joomla extensions (Forms)</t>
  </si>
  <si>
    <t>Implement new Joomla Templates, Start loading content</t>
  </si>
  <si>
    <t>Review CMS and member member Mngmnt needs Stage 1</t>
  </si>
  <si>
    <t>Prototype CMS and Extensions</t>
  </si>
  <si>
    <t>Membership data cleansing</t>
  </si>
  <si>
    <t>Setup Production</t>
  </si>
  <si>
    <t>Implement Research Functionality</t>
  </si>
  <si>
    <t>Create Templates</t>
  </si>
  <si>
    <t>Create Content</t>
  </si>
  <si>
    <t>CMS Template and Look and feel (UAT)</t>
  </si>
  <si>
    <t>Set up UAT environment</t>
  </si>
  <si>
    <t>Code for moving members to new System</t>
  </si>
  <si>
    <t>Code to notify members</t>
  </si>
  <si>
    <t>Lisa,</t>
  </si>
  <si>
    <t>Setup Dev Environment</t>
  </si>
  <si>
    <t>Setup Joomla in Dev</t>
  </si>
  <si>
    <t>Setup Joomla in UAT</t>
  </si>
  <si>
    <t>Lisa, Dave, Leo</t>
  </si>
  <si>
    <t>Webservice for member counter</t>
  </si>
  <si>
    <t>Modify Flash for new web service</t>
  </si>
  <si>
    <t>Data cleansing</t>
  </si>
  <si>
    <t>netventures</t>
  </si>
  <si>
    <t>Test researcher loading into Joomla</t>
  </si>
  <si>
    <t>Test member loading into Joomla</t>
  </si>
  <si>
    <t>Modifications to extendedReg (member Profiles)</t>
  </si>
  <si>
    <t>Code for moving researcher to new system</t>
  </si>
  <si>
    <t xml:space="preserve">Dev implementation (Templates, members) </t>
  </si>
  <si>
    <t>Dev implementation (Content, Moving members) Stage I</t>
  </si>
  <si>
    <t>Dev implementation (Content, Moving members) Stage 2 - Test</t>
  </si>
  <si>
    <t>Finalise Website layouts</t>
  </si>
  <si>
    <t>Member Registration Button</t>
  </si>
  <si>
    <t>User Login Button</t>
  </si>
  <si>
    <t>Logout Button</t>
  </si>
  <si>
    <t>Finalise 'Framing' content</t>
  </si>
  <si>
    <t>Member Registration Page</t>
  </si>
  <si>
    <t>Four member forms</t>
  </si>
  <si>
    <t>Test Public Member transfer/load</t>
  </si>
  <si>
    <t>Date Formats</t>
  </si>
  <si>
    <t>Shared emails</t>
  </si>
  <si>
    <t>Subscriptions</t>
  </si>
  <si>
    <t>Membership cancellations</t>
  </si>
  <si>
    <t>Sign-off on data validation</t>
  </si>
  <si>
    <t>Flash for new member counter and site</t>
  </si>
  <si>
    <t>EpiQ link page</t>
  </si>
  <si>
    <t>Member profile</t>
  </si>
  <si>
    <t>Install Epiq</t>
  </si>
  <si>
    <t>Install Questionnaire about EpiQ</t>
  </si>
  <si>
    <t>Test interfaces</t>
  </si>
  <si>
    <t>Review security</t>
  </si>
  <si>
    <t>Sign-off on Development</t>
  </si>
  <si>
    <t>Remove unneeded extension</t>
  </si>
  <si>
    <t>Remove access to the site</t>
  </si>
  <si>
    <t>Remove all register4 member data</t>
  </si>
  <si>
    <t>Backup/export for UAT</t>
  </si>
  <si>
    <t>Load Content</t>
  </si>
  <si>
    <t>Questionnaire about Epiq link page</t>
  </si>
  <si>
    <t>Move members (Dev)</t>
  </si>
  <si>
    <t>CMS Content (in Dev)</t>
  </si>
  <si>
    <t>Setup UAT</t>
  </si>
  <si>
    <t>Create basic workflow for applications (Dev)</t>
  </si>
  <si>
    <t>Lisa, Contractor</t>
  </si>
  <si>
    <t>Dev implementation (Look and Feel, Content, EpiQ Interface)</t>
  </si>
  <si>
    <t>,5</t>
  </si>
  <si>
    <t xml:space="preserve">Remove external contractor access to the site </t>
  </si>
  <si>
    <t>Backup/export for Dev</t>
  </si>
  <si>
    <t>David</t>
  </si>
  <si>
    <t xml:space="preserve">Test EpiQ interface </t>
  </si>
  <si>
    <t>Load Website Content</t>
  </si>
  <si>
    <t>Redesign Home page</t>
  </si>
  <si>
    <t>Site search function</t>
  </si>
  <si>
    <t>Goto Profile on first time login</t>
  </si>
  <si>
    <t>Find Joomla Forms Builder</t>
  </si>
  <si>
    <t>Discuss &amp; Agree on Release schedule</t>
  </si>
  <si>
    <t>Team</t>
  </si>
  <si>
    <t>Compose &amp; send email re. new site</t>
  </si>
  <si>
    <t>Remove all register4 member data from dev</t>
  </si>
  <si>
    <t>Finalise Site in Development (Stage I)</t>
  </si>
  <si>
    <t>Finalise Site in Development (Stage II)</t>
  </si>
  <si>
    <t>Review Joomla Security</t>
  </si>
  <si>
    <t>Leo, Contractor</t>
  </si>
  <si>
    <t>Finalise Production</t>
  </si>
  <si>
    <t>Blocking pages for current site</t>
  </si>
  <si>
    <t>Dave, Lisa</t>
  </si>
</sst>
</file>

<file path=xl/styles.xml><?xml version="1.0" encoding="utf-8"?>
<styleSheet xmlns="http://schemas.openxmlformats.org/spreadsheetml/2006/main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2" xfId="0" applyNumberFormat="1" applyFont="1" applyFill="1" applyBorder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3" xfId="0" applyNumberFormat="1" applyFont="1" applyFill="1" applyBorder="1" applyAlignment="1">
      <alignment horizontal="left"/>
    </xf>
    <xf numFmtId="0" fontId="11" fillId="0" borderId="0" xfId="0" applyFont="1" applyAlignment="1">
      <alignment wrapText="1"/>
    </xf>
    <xf numFmtId="0" fontId="11" fillId="4" borderId="0" xfId="0" applyFont="1" applyFill="1"/>
    <xf numFmtId="49" fontId="0" fillId="0" borderId="0" xfId="0" applyNumberFormat="1" applyAlignment="1">
      <alignment wrapText="1"/>
    </xf>
    <xf numFmtId="49" fontId="11" fillId="0" borderId="0" xfId="0" applyNumberFormat="1" applyFont="1" applyAlignment="1">
      <alignment wrapText="1"/>
    </xf>
    <xf numFmtId="0" fontId="11" fillId="0" borderId="0" xfId="0" applyFont="1" applyAlignment="1">
      <alignment horizontal="center" vertical="top"/>
    </xf>
    <xf numFmtId="0" fontId="11" fillId="0" borderId="3" xfId="0" applyNumberFormat="1" applyFont="1" applyFill="1" applyBorder="1" applyAlignment="1">
      <alignment horizontal="left" wrapText="1"/>
    </xf>
    <xf numFmtId="0" fontId="11" fillId="2" borderId="0" xfId="0" applyNumberFormat="1" applyFont="1" applyFill="1" applyBorder="1" applyAlignment="1">
      <alignment horizontal="center"/>
    </xf>
    <xf numFmtId="0" fontId="0" fillId="0" borderId="0" xfId="0" applyFill="1" applyBorder="1"/>
    <xf numFmtId="49" fontId="0" fillId="0" borderId="0" xfId="0" applyNumberFormat="1" applyAlignment="1">
      <alignment horizontal="left" wrapText="1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14" fontId="11" fillId="2" borderId="0" xfId="0" applyNumberFormat="1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8295776413084365E-2"/>
          <c:y val="0.12658247407547046"/>
          <c:w val="0.88295776413084348"/>
          <c:h val="0.76582396815660003"/>
        </c:manualLayout>
      </c:layout>
      <c:lineChart>
        <c:grouping val="standard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2"/>
                <c:pt idx="0">
                  <c:v>353</c:v>
                </c:pt>
                <c:pt idx="1">
                  <c:v>331</c:v>
                </c:pt>
                <c:pt idx="2">
                  <c:v>311.89999999999998</c:v>
                </c:pt>
                <c:pt idx="3">
                  <c:v>301</c:v>
                </c:pt>
                <c:pt idx="4">
                  <c:v>276.60000000000002</c:v>
                </c:pt>
                <c:pt idx="5">
                  <c:v>256.70000000000005</c:v>
                </c:pt>
                <c:pt idx="6">
                  <c:v>244.80000000000004</c:v>
                </c:pt>
                <c:pt idx="7">
                  <c:v>227.40000000000003</c:v>
                </c:pt>
                <c:pt idx="8">
                  <c:v>209.30000000000004</c:v>
                </c:pt>
                <c:pt idx="9">
                  <c:v>185.20000000000005</c:v>
                </c:pt>
                <c:pt idx="10">
                  <c:v>176.10000000000005</c:v>
                </c:pt>
                <c:pt idx="11">
                  <c:v>159.00000000000006</c:v>
                </c:pt>
              </c:numCache>
            </c:numRef>
          </c:val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2"/>
                <c:pt idx="0">
                  <c:v>353</c:v>
                </c:pt>
                <c:pt idx="1">
                  <c:v>331</c:v>
                </c:pt>
                <c:pt idx="2">
                  <c:v>311.89999999999998</c:v>
                </c:pt>
                <c:pt idx="3">
                  <c:v>301</c:v>
                </c:pt>
                <c:pt idx="4">
                  <c:v>276.60000000000002</c:v>
                </c:pt>
                <c:pt idx="5">
                  <c:v>256.70000000000005</c:v>
                </c:pt>
                <c:pt idx="6">
                  <c:v>244.80000000000004</c:v>
                </c:pt>
                <c:pt idx="7">
                  <c:v>227.40000000000003</c:v>
                </c:pt>
                <c:pt idx="8">
                  <c:v>209.30000000000004</c:v>
                </c:pt>
                <c:pt idx="9">
                  <c:v>185.20000000000005</c:v>
                </c:pt>
                <c:pt idx="10">
                  <c:v>176.10000000000005</c:v>
                </c:pt>
                <c:pt idx="11">
                  <c:v>159.00000000000006</c:v>
                </c:pt>
              </c:numCache>
            </c:numRef>
          </c:val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23"/>
                <c:pt idx="0">
                  <c:v>-5.6843418860808015E-14</c:v>
                </c:pt>
                <c:pt idx="1">
                  <c:v>-5.6843418860808015E-14</c:v>
                </c:pt>
                <c:pt idx="2">
                  <c:v>-5.6843418860808015E-14</c:v>
                </c:pt>
                <c:pt idx="3">
                  <c:v>-5.6843418860808015E-14</c:v>
                </c:pt>
                <c:pt idx="4">
                  <c:v>-5.6843418860808015E-14</c:v>
                </c:pt>
                <c:pt idx="5">
                  <c:v>-5.6843418860808015E-14</c:v>
                </c:pt>
                <c:pt idx="6">
                  <c:v>-5.6843418860808015E-14</c:v>
                </c:pt>
                <c:pt idx="7">
                  <c:v>-5.6843418860808015E-14</c:v>
                </c:pt>
                <c:pt idx="8">
                  <c:v>-5.6843418860808015E-14</c:v>
                </c:pt>
                <c:pt idx="9">
                  <c:v>-5.6843418860808015E-14</c:v>
                </c:pt>
                <c:pt idx="10">
                  <c:v>-5.6843418860808015E-14</c:v>
                </c:pt>
                <c:pt idx="11">
                  <c:v>-5.6843418860808015E-14</c:v>
                </c:pt>
                <c:pt idx="12">
                  <c:v>-5.6843418860808015E-14</c:v>
                </c:pt>
                <c:pt idx="13">
                  <c:v>-5.6843418860808015E-14</c:v>
                </c:pt>
                <c:pt idx="14">
                  <c:v>-5.6843418860808015E-14</c:v>
                </c:pt>
                <c:pt idx="15">
                  <c:v>-5.6843418860808015E-14</c:v>
                </c:pt>
                <c:pt idx="16">
                  <c:v>-5.6843418860808015E-14</c:v>
                </c:pt>
                <c:pt idx="17">
                  <c:v>-5.6843418860808015E-14</c:v>
                </c:pt>
                <c:pt idx="18">
                  <c:v>-5.6843418860808015E-14</c:v>
                </c:pt>
                <c:pt idx="19">
                  <c:v>-5.6843418860808015E-14</c:v>
                </c:pt>
                <c:pt idx="20">
                  <c:v>-5.6843418860808015E-14</c:v>
                </c:pt>
                <c:pt idx="21">
                  <c:v>-5.6843418860808015E-14</c:v>
                </c:pt>
                <c:pt idx="22">
                  <c:v>-5.6843418860808015E-14</c:v>
                </c:pt>
              </c:numCache>
            </c:numRef>
          </c:val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2.1316282072803006E-14</c:v>
                </c:pt>
                <c:pt idx="3">
                  <c:v>0</c:v>
                </c:pt>
                <c:pt idx="4">
                  <c:v>-2.8421709430404007E-14</c:v>
                </c:pt>
                <c:pt idx="5">
                  <c:v>-5.6843418860808015E-14</c:v>
                </c:pt>
                <c:pt idx="6">
                  <c:v>-5.6843418860808015E-14</c:v>
                </c:pt>
                <c:pt idx="7">
                  <c:v>-5.6843418860808015E-14</c:v>
                </c:pt>
                <c:pt idx="8">
                  <c:v>-5.6843418860808015E-14</c:v>
                </c:pt>
                <c:pt idx="9">
                  <c:v>-5.6843418860808015E-14</c:v>
                </c:pt>
                <c:pt idx="10">
                  <c:v>-5.6843418860808015E-14</c:v>
                </c:pt>
                <c:pt idx="11">
                  <c:v>-5.6843418860808015E-14</c:v>
                </c:pt>
              </c:numCache>
            </c:numRef>
          </c:val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23"/>
                <c:pt idx="0">
                  <c:v>328.9666666666667</c:v>
                </c:pt>
                <c:pt idx="1">
                  <c:v>313.4666666666667</c:v>
                </c:pt>
                <c:pt idx="2">
                  <c:v>297.9666666666667</c:v>
                </c:pt>
                <c:pt idx="3">
                  <c:v>282.4666666666667</c:v>
                </c:pt>
                <c:pt idx="4">
                  <c:v>266.9666666666667</c:v>
                </c:pt>
                <c:pt idx="5">
                  <c:v>251.4666666666667</c:v>
                </c:pt>
                <c:pt idx="6">
                  <c:v>235.9666666666667</c:v>
                </c:pt>
                <c:pt idx="7">
                  <c:v>220.4666666666667</c:v>
                </c:pt>
                <c:pt idx="8">
                  <c:v>204.96666666666673</c:v>
                </c:pt>
                <c:pt idx="9">
                  <c:v>189.46666666666673</c:v>
                </c:pt>
                <c:pt idx="10">
                  <c:v>173.96666666666673</c:v>
                </c:pt>
                <c:pt idx="11">
                  <c:v>158.46666666666673</c:v>
                </c:pt>
                <c:pt idx="12">
                  <c:v>142.96666666666673</c:v>
                </c:pt>
                <c:pt idx="13">
                  <c:v>127.46666666666673</c:v>
                </c:pt>
                <c:pt idx="14">
                  <c:v>111.96666666666673</c:v>
                </c:pt>
                <c:pt idx="15">
                  <c:v>96.466666666666725</c:v>
                </c:pt>
                <c:pt idx="16">
                  <c:v>80.966666666666754</c:v>
                </c:pt>
                <c:pt idx="17">
                  <c:v>65.466666666666754</c:v>
                </c:pt>
                <c:pt idx="18">
                  <c:v>49.966666666666754</c:v>
                </c:pt>
                <c:pt idx="19">
                  <c:v>34.466666666666754</c:v>
                </c:pt>
                <c:pt idx="20">
                  <c:v>18.966666666666754</c:v>
                </c:pt>
                <c:pt idx="21">
                  <c:v>3.4666666666667538</c:v>
                </c:pt>
                <c:pt idx="22">
                  <c:v>-5.6843418860808015E-14</c:v>
                </c:pt>
              </c:numCache>
            </c:numRef>
          </c:val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2.1316282072803006E-14</c:v>
                </c:pt>
                <c:pt idx="3">
                  <c:v>0</c:v>
                </c:pt>
                <c:pt idx="4">
                  <c:v>-2.8421709430404007E-14</c:v>
                </c:pt>
                <c:pt idx="5">
                  <c:v>-5.6843418860808015E-14</c:v>
                </c:pt>
                <c:pt idx="6">
                  <c:v>-5.6843418860808015E-14</c:v>
                </c:pt>
                <c:pt idx="7">
                  <c:v>-5.6843418860808015E-14</c:v>
                </c:pt>
                <c:pt idx="8">
                  <c:v>-5.6843418860808015E-14</c:v>
                </c:pt>
                <c:pt idx="9">
                  <c:v>-5.6843418860808015E-14</c:v>
                </c:pt>
                <c:pt idx="10">
                  <c:v>-5.6843418860808015E-14</c:v>
                </c:pt>
                <c:pt idx="11">
                  <c:v>-5.6843418860808015E-14</c:v>
                </c:pt>
              </c:numCache>
            </c:numRef>
          </c:val>
        </c:ser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axId val="85165184"/>
        <c:axId val="85166720"/>
      </c:lineChart>
      <c:catAx>
        <c:axId val="8516518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166720"/>
        <c:crosses val="autoZero"/>
        <c:auto val="1"/>
        <c:lblAlgn val="ctr"/>
        <c:lblOffset val="200"/>
        <c:tickLblSkip val="1"/>
        <c:tickMarkSkip val="1"/>
      </c:catAx>
      <c:valAx>
        <c:axId val="8516672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1651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3355"/>
          <c:y val="3.438395415472779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0349166562225844E-2"/>
          <c:y val="0.13753600904370888"/>
          <c:w val="0.87885098383256044"/>
          <c:h val="0.65043070943588155"/>
        </c:manualLayout>
      </c:layout>
      <c:barChart>
        <c:barDir val="col"/>
        <c:grouping val="clustered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[0]!PlannedSpeed</c:f>
              <c:numCache>
                <c:formatCode>General</c:formatCode>
                <c:ptCount val="12"/>
                <c:pt idx="0">
                  <c:v>23</c:v>
                </c:pt>
                <c:pt idx="1">
                  <c:v>26</c:v>
                </c:pt>
                <c:pt idx="2">
                  <c:v>16.899999999999999</c:v>
                </c:pt>
                <c:pt idx="3">
                  <c:v>37.400000000000013</c:v>
                </c:pt>
                <c:pt idx="4">
                  <c:v>21.099999999999994</c:v>
                </c:pt>
                <c:pt idx="5">
                  <c:v>33.200000000000003</c:v>
                </c:pt>
                <c:pt idx="6">
                  <c:v>22.5</c:v>
                </c:pt>
                <c:pt idx="7">
                  <c:v>26.1</c:v>
                </c:pt>
                <c:pt idx="8">
                  <c:v>48.1</c:v>
                </c:pt>
                <c:pt idx="9">
                  <c:v>34.1</c:v>
                </c:pt>
                <c:pt idx="10">
                  <c:v>36.1</c:v>
                </c:pt>
                <c:pt idx="11">
                  <c:v>27.1</c:v>
                </c:pt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[0]!RealizedSpeed</c:f>
              <c:numCache>
                <c:formatCode>General</c:formatCode>
                <c:ptCount val="12"/>
                <c:pt idx="0">
                  <c:v>22</c:v>
                </c:pt>
                <c:pt idx="1">
                  <c:v>19.100000000000001</c:v>
                </c:pt>
                <c:pt idx="2">
                  <c:v>10.899999999999999</c:v>
                </c:pt>
                <c:pt idx="3">
                  <c:v>24.4</c:v>
                </c:pt>
                <c:pt idx="4">
                  <c:v>19.899999999999999</c:v>
                </c:pt>
                <c:pt idx="5">
                  <c:v>11.9</c:v>
                </c:pt>
                <c:pt idx="6">
                  <c:v>17.399999999999999</c:v>
                </c:pt>
                <c:pt idx="7">
                  <c:v>18.100000000000001</c:v>
                </c:pt>
                <c:pt idx="8">
                  <c:v>24.1</c:v>
                </c:pt>
                <c:pt idx="9">
                  <c:v>9.1</c:v>
                </c:pt>
                <c:pt idx="10">
                  <c:v>17.100000000000001</c:v>
                </c:pt>
                <c:pt idx="11">
                  <c:v>17.100000000000001</c:v>
                </c:pt>
              </c:numCache>
            </c:numRef>
          </c:val>
        </c:ser>
        <c:gapWidth val="50"/>
        <c:axId val="81233024"/>
        <c:axId val="81234560"/>
      </c:barChart>
      <c:lineChart>
        <c:grouping val="standard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2"/>
                <c:pt idx="0">
                  <c:v>17.591666666666665</c:v>
                </c:pt>
                <c:pt idx="1">
                  <c:v>17.591666666666665</c:v>
                </c:pt>
                <c:pt idx="2">
                  <c:v>17.591666666666665</c:v>
                </c:pt>
                <c:pt idx="3">
                  <c:v>17.591666666666665</c:v>
                </c:pt>
                <c:pt idx="4">
                  <c:v>17.591666666666665</c:v>
                </c:pt>
                <c:pt idx="5">
                  <c:v>17.591666666666665</c:v>
                </c:pt>
                <c:pt idx="6">
                  <c:v>17.591666666666665</c:v>
                </c:pt>
                <c:pt idx="7">
                  <c:v>17.591666666666665</c:v>
                </c:pt>
                <c:pt idx="8">
                  <c:v>17.591666666666665</c:v>
                </c:pt>
                <c:pt idx="9">
                  <c:v>17.591666666666665</c:v>
                </c:pt>
                <c:pt idx="10">
                  <c:v>17.591666666666665</c:v>
                </c:pt>
                <c:pt idx="11">
                  <c:v>17.591666666666665</c:v>
                </c:pt>
              </c:numCache>
            </c:numRef>
          </c:val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2"/>
                <c:pt idx="0">
                  <c:v>16.685714285714287</c:v>
                </c:pt>
                <c:pt idx="1">
                  <c:v>16.685714285714287</c:v>
                </c:pt>
                <c:pt idx="2">
                  <c:v>16.685714285714287</c:v>
                </c:pt>
                <c:pt idx="3">
                  <c:v>16.685714285714287</c:v>
                </c:pt>
                <c:pt idx="4">
                  <c:v>16.685714285714287</c:v>
                </c:pt>
                <c:pt idx="5">
                  <c:v>16.685714285714287</c:v>
                </c:pt>
                <c:pt idx="6">
                  <c:v>16.685714285714287</c:v>
                </c:pt>
                <c:pt idx="7">
                  <c:v>16.685714285714287</c:v>
                </c:pt>
                <c:pt idx="8">
                  <c:v>16.685714285714287</c:v>
                </c:pt>
                <c:pt idx="9">
                  <c:v>16.685714285714287</c:v>
                </c:pt>
                <c:pt idx="10">
                  <c:v>16.685714285714287</c:v>
                </c:pt>
                <c:pt idx="11">
                  <c:v>16.685714285714287</c:v>
                </c:pt>
              </c:numCache>
            </c:numRef>
          </c:val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2"/>
                <c:pt idx="0">
                  <c:v>13.366666666666667</c:v>
                </c:pt>
                <c:pt idx="1">
                  <c:v>13.366666666666667</c:v>
                </c:pt>
                <c:pt idx="2">
                  <c:v>13.366666666666667</c:v>
                </c:pt>
                <c:pt idx="3">
                  <c:v>13.366666666666667</c:v>
                </c:pt>
                <c:pt idx="4">
                  <c:v>13.366666666666667</c:v>
                </c:pt>
                <c:pt idx="5">
                  <c:v>13.366666666666667</c:v>
                </c:pt>
                <c:pt idx="6">
                  <c:v>13.366666666666667</c:v>
                </c:pt>
                <c:pt idx="7">
                  <c:v>13.366666666666667</c:v>
                </c:pt>
                <c:pt idx="8">
                  <c:v>13.366666666666667</c:v>
                </c:pt>
                <c:pt idx="9">
                  <c:v>13.366666666666667</c:v>
                </c:pt>
                <c:pt idx="10">
                  <c:v>13.366666666666667</c:v>
                </c:pt>
                <c:pt idx="11">
                  <c:v>13.366666666666667</c:v>
                </c:pt>
              </c:numCache>
            </c:numRef>
          </c:val>
        </c:ser>
        <c:marker val="1"/>
        <c:axId val="81233024"/>
        <c:axId val="81234560"/>
      </c:lineChart>
      <c:catAx>
        <c:axId val="8123302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234560"/>
        <c:crosses val="autoZero"/>
        <c:auto val="1"/>
        <c:lblAlgn val="ctr"/>
        <c:lblOffset val="100"/>
        <c:tickLblSkip val="1"/>
        <c:tickMarkSkip val="1"/>
      </c:catAx>
      <c:valAx>
        <c:axId val="8123456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233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359342915813E-2"/>
          <c:y val="0.87392670472064859"/>
          <c:w val="0.85215691981007513"/>
          <c:h val="0.1060171919770773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634635691657871"/>
          <c:y val="8.8235610910253226E-2"/>
          <c:w val="0.81942977824709662"/>
          <c:h val="0.83088533607155679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Sprint1!$F$10:$AD$10</c:f>
              <c:numCache>
                <c:formatCode>General</c:formatCode>
                <c:ptCount val="25"/>
                <c:pt idx="0">
                  <c:v>19</c:v>
                </c:pt>
                <c:pt idx="1">
                  <c:v>17</c:v>
                </c:pt>
                <c:pt idx="2">
                  <c:v>15</c:v>
                </c:pt>
                <c:pt idx="3">
                  <c:v>13</c:v>
                </c:pt>
                <c:pt idx="4">
                  <c:v>11</c:v>
                </c:pt>
                <c:pt idx="5">
                  <c:v>9</c:v>
                </c:pt>
                <c:pt idx="6">
                  <c:v>6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0727552"/>
        <c:axId val="9072908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Sprint1!$F$11:$AD$11</c:f>
              <c:numCache>
                <c:formatCode>General</c:formatCode>
                <c:ptCount val="25"/>
                <c:pt idx="0">
                  <c:v>23</c:v>
                </c:pt>
                <c:pt idx="1">
                  <c:v>20.444444444444443</c:v>
                </c:pt>
                <c:pt idx="2">
                  <c:v>17.888888888888889</c:v>
                </c:pt>
                <c:pt idx="3">
                  <c:v>15.333333333333334</c:v>
                </c:pt>
                <c:pt idx="4">
                  <c:v>12.777777777777779</c:v>
                </c:pt>
                <c:pt idx="5">
                  <c:v>10.222222222222223</c:v>
                </c:pt>
                <c:pt idx="6">
                  <c:v>7.6666666666666679</c:v>
                </c:pt>
                <c:pt idx="7">
                  <c:v>5.1111111111111143</c:v>
                </c:pt>
                <c:pt idx="8">
                  <c:v>2.5555555555555571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Sprint1!$F$12:$AD$12</c:f>
              <c:numCache>
                <c:formatCode>General</c:formatCode>
                <c:ptCount val="25"/>
                <c:pt idx="0">
                  <c:v>20.800000000000004</c:v>
                </c:pt>
                <c:pt idx="1">
                  <c:v>18.400000000000002</c:v>
                </c:pt>
                <c:pt idx="2">
                  <c:v>16</c:v>
                </c:pt>
                <c:pt idx="3">
                  <c:v>13.600000000000001</c:v>
                </c:pt>
                <c:pt idx="4">
                  <c:v>11.200000000000001</c:v>
                </c:pt>
                <c:pt idx="5">
                  <c:v>8.8000000000000007</c:v>
                </c:pt>
                <c:pt idx="6">
                  <c:v>6.3999999999999986</c:v>
                </c:pt>
                <c:pt idx="7">
                  <c:v>4</c:v>
                </c:pt>
                <c:pt idx="8">
                  <c:v>1.6000000000000014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0727552"/>
        <c:axId val="90729088"/>
      </c:lineChart>
      <c:catAx>
        <c:axId val="90727552"/>
        <c:scaling>
          <c:orientation val="minMax"/>
        </c:scaling>
        <c:delete val="1"/>
        <c:axPos val="b"/>
        <c:tickLblPos val="none"/>
        <c:crossAx val="90729088"/>
        <c:crosses val="autoZero"/>
        <c:auto val="1"/>
        <c:lblAlgn val="ctr"/>
        <c:lblOffset val="100"/>
      </c:catAx>
      <c:valAx>
        <c:axId val="9072908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27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3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Sprint2!$F$10:$AD$10</c:f>
              <c:numCache>
                <c:formatCode>General</c:formatCode>
                <c:ptCount val="25"/>
                <c:pt idx="0">
                  <c:v>26</c:v>
                </c:pt>
                <c:pt idx="1">
                  <c:v>23.5</c:v>
                </c:pt>
                <c:pt idx="2">
                  <c:v>21</c:v>
                </c:pt>
                <c:pt idx="3">
                  <c:v>20</c:v>
                </c:pt>
                <c:pt idx="4">
                  <c:v>15.5</c:v>
                </c:pt>
                <c:pt idx="5">
                  <c:v>12.5</c:v>
                </c:pt>
                <c:pt idx="6">
                  <c:v>8.5</c:v>
                </c:pt>
                <c:pt idx="7">
                  <c:v>6.9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0584192"/>
        <c:axId val="9058572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Sprint2!$F$11:$AD$11</c:f>
              <c:numCache>
                <c:formatCode>General</c:formatCode>
                <c:ptCount val="25"/>
                <c:pt idx="0">
                  <c:v>26</c:v>
                </c:pt>
                <c:pt idx="1">
                  <c:v>22.75</c:v>
                </c:pt>
                <c:pt idx="2">
                  <c:v>19.5</c:v>
                </c:pt>
                <c:pt idx="3">
                  <c:v>16.25</c:v>
                </c:pt>
                <c:pt idx="4">
                  <c:v>13</c:v>
                </c:pt>
                <c:pt idx="5">
                  <c:v>9.75</c:v>
                </c:pt>
                <c:pt idx="6">
                  <c:v>6.5</c:v>
                </c:pt>
                <c:pt idx="7">
                  <c:v>3.25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Sprint2!$F$12:$AD$12</c:f>
              <c:numCache>
                <c:formatCode>General</c:formatCode>
                <c:ptCount val="25"/>
                <c:pt idx="0">
                  <c:v>29.279999999999994</c:v>
                </c:pt>
                <c:pt idx="1">
                  <c:v>25.959999999999994</c:v>
                </c:pt>
                <c:pt idx="2">
                  <c:v>22.639999999999993</c:v>
                </c:pt>
                <c:pt idx="3">
                  <c:v>19.319999999999993</c:v>
                </c:pt>
                <c:pt idx="4">
                  <c:v>15.999999999999996</c:v>
                </c:pt>
                <c:pt idx="5">
                  <c:v>12.679999999999996</c:v>
                </c:pt>
                <c:pt idx="6">
                  <c:v>9.3599999999999959</c:v>
                </c:pt>
                <c:pt idx="7">
                  <c:v>6.0399999999999956</c:v>
                </c:pt>
                <c:pt idx="8">
                  <c:v>2.7199999999999953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0584192"/>
        <c:axId val="90585728"/>
      </c:lineChart>
      <c:catAx>
        <c:axId val="90584192"/>
        <c:scaling>
          <c:orientation val="minMax"/>
        </c:scaling>
        <c:delete val="1"/>
        <c:axPos val="b"/>
        <c:tickLblPos val="none"/>
        <c:crossAx val="90585728"/>
        <c:crosses val="autoZero"/>
        <c:auto val="1"/>
        <c:lblAlgn val="ctr"/>
        <c:lblOffset val="100"/>
      </c:catAx>
      <c:valAx>
        <c:axId val="9058572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5841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Sprint3!$F$10:$AD$10</c:f>
              <c:numCache>
                <c:formatCode>General</c:formatCode>
                <c:ptCount val="25"/>
                <c:pt idx="0">
                  <c:v>16.899999999999999</c:v>
                </c:pt>
                <c:pt idx="1">
                  <c:v>15.9</c:v>
                </c:pt>
                <c:pt idx="2">
                  <c:v>14.9</c:v>
                </c:pt>
                <c:pt idx="3">
                  <c:v>13</c:v>
                </c:pt>
                <c:pt idx="4">
                  <c:v>9</c:v>
                </c:pt>
                <c:pt idx="5">
                  <c:v>8</c:v>
                </c:pt>
                <c:pt idx="6">
                  <c:v>7.5</c:v>
                </c:pt>
                <c:pt idx="7">
                  <c:v>5.2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0776704"/>
        <c:axId val="90778240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Sprint3!$F$11:$AD$11</c:f>
              <c:numCache>
                <c:formatCode>General</c:formatCode>
                <c:ptCount val="25"/>
                <c:pt idx="0">
                  <c:v>16.899999999999999</c:v>
                </c:pt>
                <c:pt idx="1">
                  <c:v>14.787499999999998</c:v>
                </c:pt>
                <c:pt idx="2">
                  <c:v>12.674999999999999</c:v>
                </c:pt>
                <c:pt idx="3">
                  <c:v>10.5625</c:v>
                </c:pt>
                <c:pt idx="4">
                  <c:v>8.4499999999999993</c:v>
                </c:pt>
                <c:pt idx="5">
                  <c:v>6.3374999999999986</c:v>
                </c:pt>
                <c:pt idx="6">
                  <c:v>4.2249999999999996</c:v>
                </c:pt>
                <c:pt idx="7">
                  <c:v>2.1125000000000007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Sprint3!$F$12:$AD$12</c:f>
              <c:numCache>
                <c:formatCode>General</c:formatCode>
                <c:ptCount val="25"/>
                <c:pt idx="0">
                  <c:v>17.089999999999996</c:v>
                </c:pt>
                <c:pt idx="1">
                  <c:v>15.379999999999999</c:v>
                </c:pt>
                <c:pt idx="2">
                  <c:v>13.67</c:v>
                </c:pt>
                <c:pt idx="3">
                  <c:v>11.96</c:v>
                </c:pt>
                <c:pt idx="4">
                  <c:v>10.250000000000002</c:v>
                </c:pt>
                <c:pt idx="5">
                  <c:v>8.5400000000000027</c:v>
                </c:pt>
                <c:pt idx="6">
                  <c:v>6.8300000000000036</c:v>
                </c:pt>
                <c:pt idx="7">
                  <c:v>5.1200000000000045</c:v>
                </c:pt>
                <c:pt idx="8">
                  <c:v>3.4100000000000055</c:v>
                </c:pt>
                <c:pt idx="9">
                  <c:v>1.7000000000000064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0776704"/>
        <c:axId val="90778240"/>
      </c:lineChart>
      <c:catAx>
        <c:axId val="90776704"/>
        <c:scaling>
          <c:orientation val="minMax"/>
        </c:scaling>
        <c:delete val="1"/>
        <c:axPos val="b"/>
        <c:tickLblPos val="none"/>
        <c:crossAx val="90778240"/>
        <c:crosses val="autoZero"/>
        <c:auto val="1"/>
        <c:lblAlgn val="ctr"/>
        <c:lblOffset val="100"/>
      </c:catAx>
      <c:valAx>
        <c:axId val="9077824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7767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Sprint4!$F$10:$AD$10</c:f>
              <c:numCache>
                <c:formatCode>General</c:formatCode>
                <c:ptCount val="25"/>
                <c:pt idx="0">
                  <c:v>35.900000000000013</c:v>
                </c:pt>
                <c:pt idx="1">
                  <c:v>29.400000000000006</c:v>
                </c:pt>
                <c:pt idx="2">
                  <c:v>26.900000000000006</c:v>
                </c:pt>
                <c:pt idx="3">
                  <c:v>24.300000000000004</c:v>
                </c:pt>
                <c:pt idx="4">
                  <c:v>20.3</c:v>
                </c:pt>
                <c:pt idx="5">
                  <c:v>16.600000000000001</c:v>
                </c:pt>
                <c:pt idx="6">
                  <c:v>14.499999999999998</c:v>
                </c:pt>
                <c:pt idx="7">
                  <c:v>13.099999999999998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0452736"/>
        <c:axId val="90454272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Sprint4!$F$11:$AD$11</c:f>
              <c:numCache>
                <c:formatCode>General</c:formatCode>
                <c:ptCount val="25"/>
                <c:pt idx="0">
                  <c:v>37.400000000000013</c:v>
                </c:pt>
                <c:pt idx="1">
                  <c:v>32.725000000000009</c:v>
                </c:pt>
                <c:pt idx="2">
                  <c:v>28.050000000000011</c:v>
                </c:pt>
                <c:pt idx="3">
                  <c:v>23.375000000000007</c:v>
                </c:pt>
                <c:pt idx="4">
                  <c:v>18.700000000000006</c:v>
                </c:pt>
                <c:pt idx="5">
                  <c:v>14.025000000000006</c:v>
                </c:pt>
                <c:pt idx="6">
                  <c:v>9.3500000000000014</c:v>
                </c:pt>
                <c:pt idx="7">
                  <c:v>4.6750000000000043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Sprint4!$F$12:$AD$12</c:f>
              <c:numCache>
                <c:formatCode>General</c:formatCode>
                <c:ptCount val="25"/>
                <c:pt idx="0">
                  <c:v>31.859999999999992</c:v>
                </c:pt>
                <c:pt idx="1">
                  <c:v>29.039999999999992</c:v>
                </c:pt>
                <c:pt idx="2">
                  <c:v>26.219999999999992</c:v>
                </c:pt>
                <c:pt idx="3">
                  <c:v>23.399999999999991</c:v>
                </c:pt>
                <c:pt idx="4">
                  <c:v>20.579999999999991</c:v>
                </c:pt>
                <c:pt idx="5">
                  <c:v>17.759999999999994</c:v>
                </c:pt>
                <c:pt idx="6">
                  <c:v>14.939999999999994</c:v>
                </c:pt>
                <c:pt idx="7">
                  <c:v>12.119999999999994</c:v>
                </c:pt>
                <c:pt idx="8">
                  <c:v>9.2999999999999936</c:v>
                </c:pt>
                <c:pt idx="9">
                  <c:v>6.4799999999999933</c:v>
                </c:pt>
                <c:pt idx="10">
                  <c:v>3.659999999999993</c:v>
                </c:pt>
                <c:pt idx="11">
                  <c:v>0.83999999999999631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0452736"/>
        <c:axId val="90454272"/>
      </c:lineChart>
      <c:catAx>
        <c:axId val="90452736"/>
        <c:scaling>
          <c:orientation val="minMax"/>
        </c:scaling>
        <c:delete val="1"/>
        <c:axPos val="b"/>
        <c:tickLblPos val="none"/>
        <c:crossAx val="90454272"/>
        <c:crosses val="autoZero"/>
        <c:auto val="1"/>
        <c:lblAlgn val="ctr"/>
        <c:lblOffset val="100"/>
      </c:catAx>
      <c:valAx>
        <c:axId val="90454272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04527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Sprint5!$F$10:$AD$10</c:f>
              <c:numCache>
                <c:formatCode>General</c:formatCode>
                <c:ptCount val="25"/>
                <c:pt idx="0">
                  <c:v>21.099999999999994</c:v>
                </c:pt>
                <c:pt idx="1">
                  <c:v>21.099999999999994</c:v>
                </c:pt>
                <c:pt idx="2">
                  <c:v>16.899999999999999</c:v>
                </c:pt>
                <c:pt idx="3">
                  <c:v>15.099999999999996</c:v>
                </c:pt>
                <c:pt idx="4">
                  <c:v>3.4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1.2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2558080"/>
        <c:axId val="92559616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Sprint5!$F$11:$AD$11</c:f>
              <c:numCache>
                <c:formatCode>General</c:formatCode>
                <c:ptCount val="25"/>
                <c:pt idx="0">
                  <c:v>21.099999999999994</c:v>
                </c:pt>
                <c:pt idx="1">
                  <c:v>18.462499999999995</c:v>
                </c:pt>
                <c:pt idx="2">
                  <c:v>15.824999999999996</c:v>
                </c:pt>
                <c:pt idx="3">
                  <c:v>13.187499999999996</c:v>
                </c:pt>
                <c:pt idx="4">
                  <c:v>10.549999999999997</c:v>
                </c:pt>
                <c:pt idx="5">
                  <c:v>7.9124999999999979</c:v>
                </c:pt>
                <c:pt idx="6">
                  <c:v>5.2749999999999986</c:v>
                </c:pt>
                <c:pt idx="7">
                  <c:v>2.6374999999999993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Sprint5!$F$12:$AD$12</c:f>
              <c:numCache>
                <c:formatCode>General</c:formatCode>
                <c:ptCount val="25"/>
                <c:pt idx="0">
                  <c:v>19.319999999999993</c:v>
                </c:pt>
                <c:pt idx="1">
                  <c:v>16.419999999999995</c:v>
                </c:pt>
                <c:pt idx="2">
                  <c:v>13.519999999999994</c:v>
                </c:pt>
                <c:pt idx="3">
                  <c:v>10.619999999999996</c:v>
                </c:pt>
                <c:pt idx="4">
                  <c:v>7.7199999999999971</c:v>
                </c:pt>
                <c:pt idx="5">
                  <c:v>4.8199999999999967</c:v>
                </c:pt>
                <c:pt idx="6">
                  <c:v>1.9199999999999982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2558080"/>
        <c:axId val="92559616"/>
      </c:lineChart>
      <c:catAx>
        <c:axId val="92558080"/>
        <c:scaling>
          <c:orientation val="minMax"/>
        </c:scaling>
        <c:delete val="1"/>
        <c:axPos val="b"/>
        <c:tickLblPos val="none"/>
        <c:crossAx val="92559616"/>
        <c:crosses val="autoZero"/>
        <c:auto val="1"/>
        <c:lblAlgn val="ctr"/>
        <c:lblOffset val="100"/>
      </c:catAx>
      <c:valAx>
        <c:axId val="92559616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558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Sprint6!$F$10:$AD$10</c:f>
              <c:numCache>
                <c:formatCode>General</c:formatCode>
                <c:ptCount val="25"/>
                <c:pt idx="0">
                  <c:v>33.200000000000003</c:v>
                </c:pt>
                <c:pt idx="1">
                  <c:v>31.7</c:v>
                </c:pt>
                <c:pt idx="2">
                  <c:v>30.7</c:v>
                </c:pt>
                <c:pt idx="3">
                  <c:v>28.2</c:v>
                </c:pt>
                <c:pt idx="4">
                  <c:v>24.7</c:v>
                </c:pt>
                <c:pt idx="5">
                  <c:v>22.7</c:v>
                </c:pt>
                <c:pt idx="6">
                  <c:v>21.7</c:v>
                </c:pt>
                <c:pt idx="7">
                  <c:v>20.7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2754688"/>
        <c:axId val="92756224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Sprint6!$F$11:$AD$11</c:f>
              <c:numCache>
                <c:formatCode>General</c:formatCode>
                <c:ptCount val="25"/>
                <c:pt idx="0">
                  <c:v>33.200000000000003</c:v>
                </c:pt>
                <c:pt idx="1">
                  <c:v>29.050000000000004</c:v>
                </c:pt>
                <c:pt idx="2">
                  <c:v>24.900000000000002</c:v>
                </c:pt>
                <c:pt idx="3">
                  <c:v>20.75</c:v>
                </c:pt>
                <c:pt idx="4">
                  <c:v>16.600000000000001</c:v>
                </c:pt>
                <c:pt idx="5">
                  <c:v>12.450000000000003</c:v>
                </c:pt>
                <c:pt idx="6">
                  <c:v>8.3000000000000007</c:v>
                </c:pt>
                <c:pt idx="7">
                  <c:v>4.1499999999999986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Sprint6!$F$12:$AD$12</c:f>
              <c:numCache>
                <c:formatCode>General</c:formatCode>
                <c:ptCount val="25"/>
                <c:pt idx="0">
                  <c:v>32.6</c:v>
                </c:pt>
                <c:pt idx="1">
                  <c:v>30.8</c:v>
                </c:pt>
                <c:pt idx="2">
                  <c:v>29</c:v>
                </c:pt>
                <c:pt idx="3">
                  <c:v>27.2</c:v>
                </c:pt>
                <c:pt idx="4">
                  <c:v>25.4</c:v>
                </c:pt>
                <c:pt idx="5">
                  <c:v>23.6</c:v>
                </c:pt>
                <c:pt idx="6">
                  <c:v>21.8</c:v>
                </c:pt>
                <c:pt idx="7">
                  <c:v>20</c:v>
                </c:pt>
                <c:pt idx="8">
                  <c:v>18.200000000000003</c:v>
                </c:pt>
                <c:pt idx="9">
                  <c:v>16.400000000000002</c:v>
                </c:pt>
                <c:pt idx="10">
                  <c:v>14.600000000000001</c:v>
                </c:pt>
                <c:pt idx="11">
                  <c:v>12.800000000000004</c:v>
                </c:pt>
                <c:pt idx="12">
                  <c:v>11.000000000000004</c:v>
                </c:pt>
                <c:pt idx="13">
                  <c:v>9.2000000000000028</c:v>
                </c:pt>
                <c:pt idx="14">
                  <c:v>7.4000000000000057</c:v>
                </c:pt>
                <c:pt idx="15">
                  <c:v>5.600000000000005</c:v>
                </c:pt>
                <c:pt idx="16">
                  <c:v>3.8000000000000043</c:v>
                </c:pt>
                <c:pt idx="17">
                  <c:v>2.0000000000000071</c:v>
                </c:pt>
                <c:pt idx="18">
                  <c:v>0.20000000000000284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2754688"/>
        <c:axId val="92756224"/>
      </c:lineChart>
      <c:catAx>
        <c:axId val="92754688"/>
        <c:scaling>
          <c:orientation val="minMax"/>
        </c:scaling>
        <c:delete val="1"/>
        <c:axPos val="b"/>
        <c:tickLblPos val="none"/>
        <c:crossAx val="92756224"/>
        <c:crosses val="autoZero"/>
        <c:auto val="1"/>
        <c:lblAlgn val="ctr"/>
        <c:lblOffset val="100"/>
      </c:catAx>
      <c:valAx>
        <c:axId val="92756224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7546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Sprint7!$F$10:$AD$10</c:f>
              <c:numCache>
                <c:formatCode>General</c:formatCode>
                <c:ptCount val="25"/>
                <c:pt idx="0">
                  <c:v>21.5</c:v>
                </c:pt>
                <c:pt idx="1">
                  <c:v>20.2</c:v>
                </c:pt>
                <c:pt idx="2">
                  <c:v>19.100000000000001</c:v>
                </c:pt>
                <c:pt idx="3">
                  <c:v>17.600000000000001</c:v>
                </c:pt>
                <c:pt idx="4">
                  <c:v>16.100000000000001</c:v>
                </c:pt>
                <c:pt idx="5">
                  <c:v>11.6</c:v>
                </c:pt>
                <c:pt idx="6">
                  <c:v>7.1</c:v>
                </c:pt>
                <c:pt idx="7">
                  <c:v>5.0999999999999996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3086464"/>
        <c:axId val="93088000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Sprint7!$F$11:$AD$11</c:f>
              <c:numCache>
                <c:formatCode>General</c:formatCode>
                <c:ptCount val="25"/>
                <c:pt idx="0">
                  <c:v>22.5</c:v>
                </c:pt>
                <c:pt idx="1">
                  <c:v>19.6875</c:v>
                </c:pt>
                <c:pt idx="2">
                  <c:v>16.875</c:v>
                </c:pt>
                <c:pt idx="3">
                  <c:v>14.0625</c:v>
                </c:pt>
                <c:pt idx="4">
                  <c:v>11.25</c:v>
                </c:pt>
                <c:pt idx="5">
                  <c:v>8.4375</c:v>
                </c:pt>
                <c:pt idx="6">
                  <c:v>5.625</c:v>
                </c:pt>
                <c:pt idx="7">
                  <c:v>2.8125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Sprint7!$F$12:$AD$12</c:f>
              <c:numCache>
                <c:formatCode>General</c:formatCode>
                <c:ptCount val="25"/>
                <c:pt idx="0">
                  <c:v>28.500000000000007</c:v>
                </c:pt>
                <c:pt idx="1">
                  <c:v>25.100000000000005</c:v>
                </c:pt>
                <c:pt idx="2">
                  <c:v>21.700000000000003</c:v>
                </c:pt>
                <c:pt idx="3">
                  <c:v>18.300000000000004</c:v>
                </c:pt>
                <c:pt idx="4">
                  <c:v>14.900000000000006</c:v>
                </c:pt>
                <c:pt idx="5">
                  <c:v>11.500000000000004</c:v>
                </c:pt>
                <c:pt idx="6">
                  <c:v>8.1000000000000014</c:v>
                </c:pt>
                <c:pt idx="7">
                  <c:v>4.7000000000000028</c:v>
                </c:pt>
                <c:pt idx="8">
                  <c:v>1.3000000000000043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3086464"/>
        <c:axId val="93088000"/>
      </c:lineChart>
      <c:catAx>
        <c:axId val="93086464"/>
        <c:scaling>
          <c:orientation val="minMax"/>
        </c:scaling>
        <c:delete val="1"/>
        <c:axPos val="b"/>
        <c:tickLblPos val="none"/>
        <c:crossAx val="93088000"/>
        <c:crosses val="autoZero"/>
        <c:auto val="1"/>
        <c:lblAlgn val="ctr"/>
        <c:lblOffset val="100"/>
      </c:catAx>
      <c:valAx>
        <c:axId val="93088000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86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Sprint8!$F$10:$AD$10</c:f>
              <c:numCache>
                <c:formatCode>General</c:formatCode>
                <c:ptCount val="25"/>
                <c:pt idx="0">
                  <c:v>24.4</c:v>
                </c:pt>
                <c:pt idx="1">
                  <c:v>20.5</c:v>
                </c:pt>
                <c:pt idx="2">
                  <c:v>17.3</c:v>
                </c:pt>
                <c:pt idx="3">
                  <c:v>13.2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3143808"/>
        <c:axId val="93145344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Sprint8!$F$11:$AD$11</c:f>
              <c:numCache>
                <c:formatCode>General</c:formatCode>
                <c:ptCount val="25"/>
                <c:pt idx="0">
                  <c:v>26.1</c:v>
                </c:pt>
                <c:pt idx="1">
                  <c:v>22.837500000000002</c:v>
                </c:pt>
                <c:pt idx="2">
                  <c:v>19.575000000000003</c:v>
                </c:pt>
                <c:pt idx="3">
                  <c:v>16.3125</c:v>
                </c:pt>
                <c:pt idx="4">
                  <c:v>13.05</c:v>
                </c:pt>
                <c:pt idx="5">
                  <c:v>9.7875000000000014</c:v>
                </c:pt>
                <c:pt idx="6">
                  <c:v>6.5249999999999986</c:v>
                </c:pt>
                <c:pt idx="7">
                  <c:v>3.2624999999999993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Sprint8!$F$12:$AD$12</c:f>
              <c:numCache>
                <c:formatCode>General</c:formatCode>
                <c:ptCount val="25"/>
                <c:pt idx="0">
                  <c:v>16.440000000000001</c:v>
                </c:pt>
                <c:pt idx="1">
                  <c:v>15.2</c:v>
                </c:pt>
                <c:pt idx="2">
                  <c:v>13.96</c:v>
                </c:pt>
                <c:pt idx="3">
                  <c:v>12.719999999999999</c:v>
                </c:pt>
                <c:pt idx="4">
                  <c:v>11.48</c:v>
                </c:pt>
                <c:pt idx="5">
                  <c:v>10.24</c:v>
                </c:pt>
                <c:pt idx="6">
                  <c:v>9</c:v>
                </c:pt>
                <c:pt idx="7">
                  <c:v>7.76</c:v>
                </c:pt>
                <c:pt idx="8">
                  <c:v>6.52</c:v>
                </c:pt>
                <c:pt idx="9">
                  <c:v>5.2799999999999994</c:v>
                </c:pt>
                <c:pt idx="10">
                  <c:v>4.0399999999999991</c:v>
                </c:pt>
                <c:pt idx="11">
                  <c:v>2.8000000000000007</c:v>
                </c:pt>
                <c:pt idx="12">
                  <c:v>1.5599999999999987</c:v>
                </c:pt>
                <c:pt idx="13">
                  <c:v>0.32000000000000028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3143808"/>
        <c:axId val="93145344"/>
      </c:lineChart>
      <c:catAx>
        <c:axId val="93143808"/>
        <c:scaling>
          <c:orientation val="minMax"/>
        </c:scaling>
        <c:delete val="1"/>
        <c:axPos val="b"/>
        <c:tickLblPos val="none"/>
        <c:crossAx val="93145344"/>
        <c:crosses val="autoZero"/>
        <c:auto val="1"/>
        <c:lblAlgn val="ctr"/>
        <c:lblOffset val="100"/>
      </c:catAx>
      <c:valAx>
        <c:axId val="93145344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438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Sprint9!$F$10:$AD$10</c:f>
              <c:numCache>
                <c:formatCode>General</c:formatCode>
                <c:ptCount val="25"/>
                <c:pt idx="0">
                  <c:v>48.1</c:v>
                </c:pt>
                <c:pt idx="1">
                  <c:v>45.1</c:v>
                </c:pt>
                <c:pt idx="2">
                  <c:v>40.6</c:v>
                </c:pt>
                <c:pt idx="3">
                  <c:v>36.1</c:v>
                </c:pt>
                <c:pt idx="4">
                  <c:v>33.1</c:v>
                </c:pt>
                <c:pt idx="5">
                  <c:v>29.1</c:v>
                </c:pt>
                <c:pt idx="6">
                  <c:v>26.1</c:v>
                </c:pt>
                <c:pt idx="7">
                  <c:v>24.1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126336"/>
        <c:axId val="102127872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Sprint9!$F$11:$AD$11</c:f>
              <c:numCache>
                <c:formatCode>General</c:formatCode>
                <c:ptCount val="25"/>
                <c:pt idx="0">
                  <c:v>48.1</c:v>
                </c:pt>
                <c:pt idx="1">
                  <c:v>42.087499999999999</c:v>
                </c:pt>
                <c:pt idx="2">
                  <c:v>36.075000000000003</c:v>
                </c:pt>
                <c:pt idx="3">
                  <c:v>30.0625</c:v>
                </c:pt>
                <c:pt idx="4">
                  <c:v>24.05</c:v>
                </c:pt>
                <c:pt idx="5">
                  <c:v>18.037500000000001</c:v>
                </c:pt>
                <c:pt idx="6">
                  <c:v>12.024999999999999</c:v>
                </c:pt>
                <c:pt idx="7">
                  <c:v>6.0125000000000028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Sprint9!$F$12:$AD$12</c:f>
              <c:numCache>
                <c:formatCode>General</c:formatCode>
                <c:ptCount val="25"/>
                <c:pt idx="0">
                  <c:v>45.199999999999996</c:v>
                </c:pt>
                <c:pt idx="1">
                  <c:v>42.099999999999994</c:v>
                </c:pt>
                <c:pt idx="2">
                  <c:v>39</c:v>
                </c:pt>
                <c:pt idx="3">
                  <c:v>35.9</c:v>
                </c:pt>
                <c:pt idx="4">
                  <c:v>32.799999999999997</c:v>
                </c:pt>
                <c:pt idx="5">
                  <c:v>29.7</c:v>
                </c:pt>
                <c:pt idx="6">
                  <c:v>26.6</c:v>
                </c:pt>
                <c:pt idx="7">
                  <c:v>23.5</c:v>
                </c:pt>
                <c:pt idx="8">
                  <c:v>20.399999999999999</c:v>
                </c:pt>
                <c:pt idx="9">
                  <c:v>17.3</c:v>
                </c:pt>
                <c:pt idx="10">
                  <c:v>14.200000000000003</c:v>
                </c:pt>
                <c:pt idx="11">
                  <c:v>11.100000000000001</c:v>
                </c:pt>
                <c:pt idx="12">
                  <c:v>8</c:v>
                </c:pt>
                <c:pt idx="13">
                  <c:v>4.9000000000000057</c:v>
                </c:pt>
                <c:pt idx="14">
                  <c:v>1.8000000000000043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2126336"/>
        <c:axId val="102127872"/>
      </c:lineChart>
      <c:catAx>
        <c:axId val="102126336"/>
        <c:scaling>
          <c:orientation val="minMax"/>
        </c:scaling>
        <c:delete val="1"/>
        <c:axPos val="b"/>
        <c:tickLblPos val="none"/>
        <c:crossAx val="102127872"/>
        <c:crosses val="autoZero"/>
        <c:auto val="1"/>
        <c:lblAlgn val="ctr"/>
        <c:lblOffset val="100"/>
      </c:catAx>
      <c:valAx>
        <c:axId val="102127872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126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Sprint10!$F$10:$AD$10</c:f>
              <c:numCache>
                <c:formatCode>General</c:formatCode>
                <c:ptCount val="25"/>
                <c:pt idx="0">
                  <c:v>34.1</c:v>
                </c:pt>
                <c:pt idx="1">
                  <c:v>31.1</c:v>
                </c:pt>
                <c:pt idx="2">
                  <c:v>29.1</c:v>
                </c:pt>
                <c:pt idx="3">
                  <c:v>26.1</c:v>
                </c:pt>
                <c:pt idx="4">
                  <c:v>25.1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171392"/>
        <c:axId val="10217292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Sprint10!$F$11:$AD$11</c:f>
              <c:numCache>
                <c:formatCode>General</c:formatCode>
                <c:ptCount val="25"/>
                <c:pt idx="0">
                  <c:v>34.1</c:v>
                </c:pt>
                <c:pt idx="1">
                  <c:v>27.28</c:v>
                </c:pt>
                <c:pt idx="2">
                  <c:v>20.46</c:v>
                </c:pt>
                <c:pt idx="3">
                  <c:v>13.64</c:v>
                </c:pt>
                <c:pt idx="4">
                  <c:v>6.82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Sprint10!$F$12:$AD$12</c:f>
              <c:numCache>
                <c:formatCode>General</c:formatCode>
                <c:ptCount val="25"/>
                <c:pt idx="0">
                  <c:v>33.700000000000003</c:v>
                </c:pt>
                <c:pt idx="1">
                  <c:v>31.400000000000002</c:v>
                </c:pt>
                <c:pt idx="2">
                  <c:v>29.1</c:v>
                </c:pt>
                <c:pt idx="3">
                  <c:v>26.800000000000004</c:v>
                </c:pt>
                <c:pt idx="4">
                  <c:v>24.500000000000004</c:v>
                </c:pt>
                <c:pt idx="5">
                  <c:v>22.200000000000003</c:v>
                </c:pt>
                <c:pt idx="6">
                  <c:v>19.900000000000006</c:v>
                </c:pt>
                <c:pt idx="7">
                  <c:v>17.600000000000005</c:v>
                </c:pt>
                <c:pt idx="8">
                  <c:v>15.300000000000004</c:v>
                </c:pt>
                <c:pt idx="9">
                  <c:v>13.000000000000007</c:v>
                </c:pt>
                <c:pt idx="10">
                  <c:v>10.700000000000006</c:v>
                </c:pt>
                <c:pt idx="11">
                  <c:v>8.4000000000000057</c:v>
                </c:pt>
                <c:pt idx="12">
                  <c:v>6.1000000000000085</c:v>
                </c:pt>
                <c:pt idx="13">
                  <c:v>3.8000000000000114</c:v>
                </c:pt>
                <c:pt idx="14">
                  <c:v>1.5000000000000071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2171392"/>
        <c:axId val="102172928"/>
      </c:lineChart>
      <c:catAx>
        <c:axId val="102171392"/>
        <c:scaling>
          <c:orientation val="minMax"/>
        </c:scaling>
        <c:delete val="1"/>
        <c:axPos val="b"/>
        <c:tickLblPos val="none"/>
        <c:crossAx val="102172928"/>
        <c:crosses val="autoZero"/>
        <c:auto val="1"/>
        <c:lblAlgn val="ctr"/>
        <c:lblOffset val="100"/>
      </c:catAx>
      <c:valAx>
        <c:axId val="10217292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171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Sprint11!$F$10:$AD$10</c:f>
              <c:numCache>
                <c:formatCode>General</c:formatCode>
                <c:ptCount val="25"/>
                <c:pt idx="0">
                  <c:v>34.1</c:v>
                </c:pt>
                <c:pt idx="1">
                  <c:v>30.6</c:v>
                </c:pt>
                <c:pt idx="2">
                  <c:v>27.6</c:v>
                </c:pt>
                <c:pt idx="3">
                  <c:v>26.6</c:v>
                </c:pt>
                <c:pt idx="4">
                  <c:v>25.1</c:v>
                </c:pt>
                <c:pt idx="5">
                  <c:v>23.1</c:v>
                </c:pt>
                <c:pt idx="6">
                  <c:v>20.100000000000001</c:v>
                </c:pt>
                <c:pt idx="7">
                  <c:v>18.600000000000001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93012736"/>
        <c:axId val="93014272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Sprint11!$F$11:$AD$11</c:f>
              <c:numCache>
                <c:formatCode>General</c:formatCode>
                <c:ptCount val="25"/>
                <c:pt idx="0">
                  <c:v>36.1</c:v>
                </c:pt>
                <c:pt idx="1">
                  <c:v>31.587500000000002</c:v>
                </c:pt>
                <c:pt idx="2">
                  <c:v>27.075000000000003</c:v>
                </c:pt>
                <c:pt idx="3">
                  <c:v>22.5625</c:v>
                </c:pt>
                <c:pt idx="4">
                  <c:v>18.05</c:v>
                </c:pt>
                <c:pt idx="5">
                  <c:v>13.537500000000001</c:v>
                </c:pt>
                <c:pt idx="6">
                  <c:v>9.0249999999999986</c:v>
                </c:pt>
                <c:pt idx="7">
                  <c:v>4.5124999999999993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Sprint11!$F$12:$AD$12</c:f>
              <c:numCache>
                <c:formatCode>General</c:formatCode>
                <c:ptCount val="25"/>
                <c:pt idx="0">
                  <c:v>33.199999999999996</c:v>
                </c:pt>
                <c:pt idx="1">
                  <c:v>31.099999999999998</c:v>
                </c:pt>
                <c:pt idx="2">
                  <c:v>28.999999999999996</c:v>
                </c:pt>
                <c:pt idx="3">
                  <c:v>26.9</c:v>
                </c:pt>
                <c:pt idx="4">
                  <c:v>24.799999999999997</c:v>
                </c:pt>
                <c:pt idx="5">
                  <c:v>22.699999999999996</c:v>
                </c:pt>
                <c:pt idx="6">
                  <c:v>20.599999999999994</c:v>
                </c:pt>
                <c:pt idx="7">
                  <c:v>18.499999999999996</c:v>
                </c:pt>
                <c:pt idx="8">
                  <c:v>16.399999999999995</c:v>
                </c:pt>
                <c:pt idx="9">
                  <c:v>14.299999999999997</c:v>
                </c:pt>
                <c:pt idx="10">
                  <c:v>12.199999999999996</c:v>
                </c:pt>
                <c:pt idx="11">
                  <c:v>10.099999999999994</c:v>
                </c:pt>
                <c:pt idx="12">
                  <c:v>7.9999999999999964</c:v>
                </c:pt>
                <c:pt idx="13">
                  <c:v>5.899999999999995</c:v>
                </c:pt>
                <c:pt idx="14">
                  <c:v>3.7999999999999972</c:v>
                </c:pt>
                <c:pt idx="15">
                  <c:v>1.6999999999999957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93012736"/>
        <c:axId val="93014272"/>
      </c:lineChart>
      <c:catAx>
        <c:axId val="93012736"/>
        <c:scaling>
          <c:orientation val="minMax"/>
        </c:scaling>
        <c:delete val="1"/>
        <c:axPos val="b"/>
        <c:tickLblPos val="none"/>
        <c:crossAx val="93014272"/>
        <c:crosses val="autoZero"/>
        <c:auto val="1"/>
        <c:lblAlgn val="ctr"/>
        <c:lblOffset val="100"/>
      </c:catAx>
      <c:valAx>
        <c:axId val="93014272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127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Sprint12!$F$10:$AD$10</c:f>
              <c:numCache>
                <c:formatCode>General</c:formatCode>
                <c:ptCount val="25"/>
                <c:pt idx="0">
                  <c:v>27.1</c:v>
                </c:pt>
                <c:pt idx="1">
                  <c:v>25.450000000000003</c:v>
                </c:pt>
                <c:pt idx="2">
                  <c:v>24.7</c:v>
                </c:pt>
                <c:pt idx="3">
                  <c:v>23</c:v>
                </c:pt>
                <c:pt idx="4">
                  <c:v>20.5</c:v>
                </c:pt>
                <c:pt idx="5">
                  <c:v>18</c:v>
                </c:pt>
                <c:pt idx="6">
                  <c:v>13.799999999999997</c:v>
                </c:pt>
                <c:pt idx="7">
                  <c:v>10.199999999999999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531840"/>
        <c:axId val="102533376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Sprint12!$F$11:$AD$11</c:f>
              <c:numCache>
                <c:formatCode>General</c:formatCode>
                <c:ptCount val="25"/>
                <c:pt idx="0">
                  <c:v>27.1</c:v>
                </c:pt>
                <c:pt idx="1">
                  <c:v>23.712500000000002</c:v>
                </c:pt>
                <c:pt idx="2">
                  <c:v>20.325000000000003</c:v>
                </c:pt>
                <c:pt idx="3">
                  <c:v>16.9375</c:v>
                </c:pt>
                <c:pt idx="4">
                  <c:v>13.55</c:v>
                </c:pt>
                <c:pt idx="5">
                  <c:v>10.162500000000001</c:v>
                </c:pt>
                <c:pt idx="6">
                  <c:v>6.7749999999999986</c:v>
                </c:pt>
                <c:pt idx="7">
                  <c:v>3.3874999999999993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Sprint12!$F$12:$AD$12</c:f>
              <c:numCache>
                <c:formatCode>General</c:formatCode>
                <c:ptCount val="25"/>
                <c:pt idx="0">
                  <c:v>33.25</c:v>
                </c:pt>
                <c:pt idx="1">
                  <c:v>30.019999999999996</c:v>
                </c:pt>
                <c:pt idx="2">
                  <c:v>26.79</c:v>
                </c:pt>
                <c:pt idx="3">
                  <c:v>23.56</c:v>
                </c:pt>
                <c:pt idx="4">
                  <c:v>20.329999999999998</c:v>
                </c:pt>
                <c:pt idx="5">
                  <c:v>17.100000000000001</c:v>
                </c:pt>
                <c:pt idx="6">
                  <c:v>13.870000000000001</c:v>
                </c:pt>
                <c:pt idx="7">
                  <c:v>10.64</c:v>
                </c:pt>
                <c:pt idx="8">
                  <c:v>7.41</c:v>
                </c:pt>
                <c:pt idx="9">
                  <c:v>4.18</c:v>
                </c:pt>
                <c:pt idx="10">
                  <c:v>0.95000000000000284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2531840"/>
        <c:axId val="102533376"/>
      </c:lineChart>
      <c:catAx>
        <c:axId val="102531840"/>
        <c:scaling>
          <c:orientation val="minMax"/>
        </c:scaling>
        <c:delete val="1"/>
        <c:axPos val="b"/>
        <c:tickLblPos val="none"/>
        <c:crossAx val="102533376"/>
        <c:crosses val="autoZero"/>
        <c:auto val="1"/>
        <c:lblAlgn val="ctr"/>
        <c:lblOffset val="100"/>
      </c:catAx>
      <c:valAx>
        <c:axId val="102533376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531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Sprint13!$F$10:$AD$10</c:f>
              <c:numCache>
                <c:formatCode>General</c:formatCode>
                <c:ptCount val="25"/>
                <c:pt idx="0">
                  <c:v>36.900000000000013</c:v>
                </c:pt>
                <c:pt idx="1">
                  <c:v>33.900000000000013</c:v>
                </c:pt>
                <c:pt idx="2">
                  <c:v>33.500000000000014</c:v>
                </c:pt>
                <c:pt idx="3">
                  <c:v>32.500000000000007</c:v>
                </c:pt>
                <c:pt idx="4">
                  <c:v>27.8</c:v>
                </c:pt>
                <c:pt idx="5">
                  <c:v>26.299999999999997</c:v>
                </c:pt>
                <c:pt idx="6">
                  <c:v>23.8</c:v>
                </c:pt>
                <c:pt idx="7">
                  <c:v>22.799999999999997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437632"/>
        <c:axId val="10243916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Sprint13!$F$11:$AD$11</c:f>
              <c:numCache>
                <c:formatCode>General</c:formatCode>
                <c:ptCount val="25"/>
                <c:pt idx="0">
                  <c:v>36.900000000000013</c:v>
                </c:pt>
                <c:pt idx="1">
                  <c:v>32.287500000000009</c:v>
                </c:pt>
                <c:pt idx="2">
                  <c:v>27.675000000000011</c:v>
                </c:pt>
                <c:pt idx="3">
                  <c:v>23.062500000000007</c:v>
                </c:pt>
                <c:pt idx="4">
                  <c:v>18.450000000000006</c:v>
                </c:pt>
                <c:pt idx="5">
                  <c:v>13.837500000000006</c:v>
                </c:pt>
                <c:pt idx="6">
                  <c:v>9.2250000000000014</c:v>
                </c:pt>
                <c:pt idx="7">
                  <c:v>4.6125000000000043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Sprint13!$F$12:$AD$12</c:f>
              <c:numCache>
                <c:formatCode>General</c:formatCode>
                <c:ptCount val="25"/>
                <c:pt idx="0">
                  <c:v>38.340000000000003</c:v>
                </c:pt>
                <c:pt idx="1">
                  <c:v>36.000000000000007</c:v>
                </c:pt>
                <c:pt idx="2">
                  <c:v>33.660000000000004</c:v>
                </c:pt>
                <c:pt idx="3">
                  <c:v>31.32</c:v>
                </c:pt>
                <c:pt idx="4">
                  <c:v>28.98</c:v>
                </c:pt>
                <c:pt idx="5">
                  <c:v>26.64</c:v>
                </c:pt>
                <c:pt idx="6">
                  <c:v>24.299999999999997</c:v>
                </c:pt>
                <c:pt idx="7">
                  <c:v>21.959999999999997</c:v>
                </c:pt>
                <c:pt idx="8">
                  <c:v>19.619999999999997</c:v>
                </c:pt>
                <c:pt idx="9">
                  <c:v>17.279999999999994</c:v>
                </c:pt>
                <c:pt idx="10">
                  <c:v>14.939999999999994</c:v>
                </c:pt>
                <c:pt idx="11">
                  <c:v>12.599999999999994</c:v>
                </c:pt>
                <c:pt idx="12">
                  <c:v>10.259999999999991</c:v>
                </c:pt>
                <c:pt idx="13">
                  <c:v>7.9199999999999875</c:v>
                </c:pt>
                <c:pt idx="14">
                  <c:v>5.5799999999999912</c:v>
                </c:pt>
                <c:pt idx="15">
                  <c:v>3.2399999999999878</c:v>
                </c:pt>
                <c:pt idx="16">
                  <c:v>0.89999999999998437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2437632"/>
        <c:axId val="102439168"/>
      </c:lineChart>
      <c:catAx>
        <c:axId val="102437632"/>
        <c:scaling>
          <c:orientation val="minMax"/>
        </c:scaling>
        <c:delete val="1"/>
        <c:axPos val="b"/>
        <c:tickLblPos val="none"/>
        <c:crossAx val="102439168"/>
        <c:crosses val="autoZero"/>
        <c:auto val="1"/>
        <c:lblAlgn val="ctr"/>
        <c:lblOffset val="100"/>
      </c:catAx>
      <c:valAx>
        <c:axId val="10243916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4376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Sprint14!$F$10:$AD$10</c:f>
              <c:numCache>
                <c:formatCode>General</c:formatCode>
                <c:ptCount val="25"/>
                <c:pt idx="0">
                  <c:v>18.799999999999997</c:v>
                </c:pt>
                <c:pt idx="1">
                  <c:v>15.499999999999998</c:v>
                </c:pt>
                <c:pt idx="2">
                  <c:v>15.499999999999998</c:v>
                </c:pt>
                <c:pt idx="3">
                  <c:v>13.499999999999998</c:v>
                </c:pt>
                <c:pt idx="4">
                  <c:v>13.499999999999998</c:v>
                </c:pt>
                <c:pt idx="5">
                  <c:v>12.499999999999998</c:v>
                </c:pt>
                <c:pt idx="6">
                  <c:v>10.499999999999996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581376"/>
        <c:axId val="102582912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Sprint14!$F$11:$AD$11</c:f>
              <c:numCache>
                <c:formatCode>General</c:formatCode>
                <c:ptCount val="25"/>
                <c:pt idx="0">
                  <c:v>18.799999999999997</c:v>
                </c:pt>
                <c:pt idx="1">
                  <c:v>16.11428571428571</c:v>
                </c:pt>
                <c:pt idx="2">
                  <c:v>13.428571428571427</c:v>
                </c:pt>
                <c:pt idx="3">
                  <c:v>10.74285714285714</c:v>
                </c:pt>
                <c:pt idx="4">
                  <c:v>8.0571428571428552</c:v>
                </c:pt>
                <c:pt idx="5">
                  <c:v>5.3714285714285701</c:v>
                </c:pt>
                <c:pt idx="6">
                  <c:v>2.6857142857142833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Sprint14!$F$12:$AD$12</c:f>
              <c:numCache>
                <c:formatCode>General</c:formatCode>
                <c:ptCount val="25"/>
                <c:pt idx="0">
                  <c:v>17.5</c:v>
                </c:pt>
                <c:pt idx="1">
                  <c:v>16.399999999999999</c:v>
                </c:pt>
                <c:pt idx="2">
                  <c:v>15.3</c:v>
                </c:pt>
                <c:pt idx="3">
                  <c:v>14.2</c:v>
                </c:pt>
                <c:pt idx="4">
                  <c:v>13.099999999999998</c:v>
                </c:pt>
                <c:pt idx="5">
                  <c:v>11.999999999999998</c:v>
                </c:pt>
                <c:pt idx="6">
                  <c:v>10.899999999999999</c:v>
                </c:pt>
                <c:pt idx="7">
                  <c:v>9.7999999999999972</c:v>
                </c:pt>
                <c:pt idx="8">
                  <c:v>8.6999999999999957</c:v>
                </c:pt>
                <c:pt idx="9">
                  <c:v>7.5999999999999961</c:v>
                </c:pt>
                <c:pt idx="10">
                  <c:v>6.4999999999999964</c:v>
                </c:pt>
                <c:pt idx="11">
                  <c:v>5.399999999999995</c:v>
                </c:pt>
                <c:pt idx="12">
                  <c:v>4.2999999999999936</c:v>
                </c:pt>
                <c:pt idx="13">
                  <c:v>3.199999999999994</c:v>
                </c:pt>
                <c:pt idx="14">
                  <c:v>2.0999999999999943</c:v>
                </c:pt>
                <c:pt idx="15">
                  <c:v>0.99999999999999289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2581376"/>
        <c:axId val="102582912"/>
      </c:lineChart>
      <c:catAx>
        <c:axId val="102581376"/>
        <c:scaling>
          <c:orientation val="minMax"/>
        </c:scaling>
        <c:delete val="1"/>
        <c:axPos val="b"/>
        <c:tickLblPos val="none"/>
        <c:crossAx val="102582912"/>
        <c:crosses val="autoZero"/>
        <c:auto val="1"/>
        <c:lblAlgn val="ctr"/>
        <c:lblOffset val="100"/>
      </c:catAx>
      <c:valAx>
        <c:axId val="102582912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5813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Sprint15!$F$10:$AD$10</c:f>
              <c:numCache>
                <c:formatCode>General</c:formatCode>
                <c:ptCount val="25"/>
                <c:pt idx="0">
                  <c:v>17.799999999999997</c:v>
                </c:pt>
                <c:pt idx="1">
                  <c:v>13.599999999999998</c:v>
                </c:pt>
                <c:pt idx="2">
                  <c:v>13.399999999999997</c:v>
                </c:pt>
                <c:pt idx="3">
                  <c:v>12.899999999999997</c:v>
                </c:pt>
                <c:pt idx="4">
                  <c:v>12.899999999999997</c:v>
                </c:pt>
                <c:pt idx="5">
                  <c:v>11.899999999999997</c:v>
                </c:pt>
                <c:pt idx="6">
                  <c:v>11.399999999999997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2052992"/>
        <c:axId val="10205452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Sprint15!$F$11:$AD$11</c:f>
              <c:numCache>
                <c:formatCode>General</c:formatCode>
                <c:ptCount val="25"/>
                <c:pt idx="0">
                  <c:v>17.799999999999997</c:v>
                </c:pt>
                <c:pt idx="1">
                  <c:v>15.257142857142854</c:v>
                </c:pt>
                <c:pt idx="2">
                  <c:v>12.714285714285712</c:v>
                </c:pt>
                <c:pt idx="3">
                  <c:v>10.171428571428571</c:v>
                </c:pt>
                <c:pt idx="4">
                  <c:v>7.6285714285714281</c:v>
                </c:pt>
                <c:pt idx="5">
                  <c:v>5.0857142857142854</c:v>
                </c:pt>
                <c:pt idx="6">
                  <c:v>2.5428571428571445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Sprint15!$F$12:$AD$12</c:f>
              <c:numCache>
                <c:formatCode>General</c:formatCode>
                <c:ptCount val="25"/>
                <c:pt idx="0">
                  <c:v>14.499999999999996</c:v>
                </c:pt>
                <c:pt idx="1">
                  <c:v>13.999999999999996</c:v>
                </c:pt>
                <c:pt idx="2">
                  <c:v>13.499999999999996</c:v>
                </c:pt>
                <c:pt idx="3">
                  <c:v>12.999999999999996</c:v>
                </c:pt>
                <c:pt idx="4">
                  <c:v>12.499999999999996</c:v>
                </c:pt>
                <c:pt idx="5">
                  <c:v>11.999999999999996</c:v>
                </c:pt>
                <c:pt idx="6">
                  <c:v>11.499999999999996</c:v>
                </c:pt>
                <c:pt idx="7">
                  <c:v>10.999999999999996</c:v>
                </c:pt>
                <c:pt idx="8">
                  <c:v>10.499999999999996</c:v>
                </c:pt>
                <c:pt idx="9">
                  <c:v>9.9999999999999964</c:v>
                </c:pt>
                <c:pt idx="10">
                  <c:v>9.4999999999999964</c:v>
                </c:pt>
                <c:pt idx="11">
                  <c:v>8.9999999999999964</c:v>
                </c:pt>
                <c:pt idx="12">
                  <c:v>8.4999999999999964</c:v>
                </c:pt>
                <c:pt idx="13">
                  <c:v>7.9999999999999973</c:v>
                </c:pt>
                <c:pt idx="14">
                  <c:v>7.4999999999999973</c:v>
                </c:pt>
                <c:pt idx="15">
                  <c:v>6.9999999999999973</c:v>
                </c:pt>
                <c:pt idx="16">
                  <c:v>6.4999999999999982</c:v>
                </c:pt>
                <c:pt idx="17">
                  <c:v>5.9999999999999982</c:v>
                </c:pt>
                <c:pt idx="18">
                  <c:v>5.4999999999999982</c:v>
                </c:pt>
                <c:pt idx="19">
                  <c:v>4.9999999999999982</c:v>
                </c:pt>
                <c:pt idx="20">
                  <c:v>4.4999999999999982</c:v>
                </c:pt>
                <c:pt idx="21">
                  <c:v>3.9999999999999982</c:v>
                </c:pt>
                <c:pt idx="22">
                  <c:v>3.4999999999999982</c:v>
                </c:pt>
                <c:pt idx="23">
                  <c:v>2.9999999999999982</c:v>
                </c:pt>
                <c:pt idx="24">
                  <c:v>2.4999999999999982</c:v>
                </c:pt>
              </c:numCache>
            </c:numRef>
          </c:val>
        </c:ser>
        <c:marker val="1"/>
        <c:axId val="102052992"/>
        <c:axId val="102054528"/>
      </c:lineChart>
      <c:catAx>
        <c:axId val="102052992"/>
        <c:scaling>
          <c:orientation val="minMax"/>
        </c:scaling>
        <c:delete val="1"/>
        <c:axPos val="b"/>
        <c:tickLblPos val="none"/>
        <c:crossAx val="102054528"/>
        <c:crosses val="autoZero"/>
        <c:auto val="1"/>
        <c:lblAlgn val="ctr"/>
        <c:lblOffset val="100"/>
      </c:catAx>
      <c:valAx>
        <c:axId val="10205452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0529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6"/>
          <c:y val="8.8235610910253226E-2"/>
          <c:w val="0.81731784582892408"/>
          <c:h val="0.83088533607155701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Sprint16!$F$10:$AD$10</c:f>
              <c:numCache>
                <c:formatCode>General</c:formatCode>
                <c:ptCount val="25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3093760"/>
        <c:axId val="103095296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Sprint16!$F$11:$AD$11</c:f>
              <c:numCache>
                <c:formatCode>General</c:formatCode>
                <c:ptCount val="25"/>
                <c:pt idx="0">
                  <c:v>17</c:v>
                </c:pt>
                <c:pt idx="1">
                  <c:v>14.875</c:v>
                </c:pt>
                <c:pt idx="2">
                  <c:v>12.75</c:v>
                </c:pt>
                <c:pt idx="3">
                  <c:v>10.625</c:v>
                </c:pt>
                <c:pt idx="4">
                  <c:v>8.5</c:v>
                </c:pt>
                <c:pt idx="5">
                  <c:v>6.375</c:v>
                </c:pt>
                <c:pt idx="6">
                  <c:v>4.25</c:v>
                </c:pt>
                <c:pt idx="7">
                  <c:v>2.125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Sprint16!$F$12:$AD$12</c:f>
              <c:numCache>
                <c:formatCode>General</c:formatCode>
                <c:ptCount val="25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</c:numCache>
            </c:numRef>
          </c:val>
        </c:ser>
        <c:marker val="1"/>
        <c:axId val="103093760"/>
        <c:axId val="103095296"/>
      </c:lineChart>
      <c:catAx>
        <c:axId val="103093760"/>
        <c:scaling>
          <c:orientation val="minMax"/>
        </c:scaling>
        <c:delete val="1"/>
        <c:axPos val="b"/>
        <c:tickLblPos val="none"/>
        <c:crossAx val="103095296"/>
        <c:crosses val="autoZero"/>
        <c:auto val="1"/>
        <c:lblAlgn val="ctr"/>
        <c:lblOffset val="100"/>
      </c:catAx>
      <c:valAx>
        <c:axId val="103095296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093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66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33" r="0.75000000000000833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784582893347435"/>
          <c:y val="8.8235610910253226E-2"/>
          <c:w val="0.81731784582892431"/>
          <c:h val="0.83088533607155679"/>
        </c:manualLayout>
      </c:layout>
      <c:barChart>
        <c:barDir val="col"/>
        <c:grouping val="clustered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axId val="101991552"/>
        <c:axId val="101993088"/>
      </c:barChart>
      <c:lineChart>
        <c:grouping val="standard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marker val="1"/>
        <c:axId val="101991552"/>
        <c:axId val="101993088"/>
      </c:lineChart>
      <c:catAx>
        <c:axId val="101991552"/>
        <c:scaling>
          <c:orientation val="minMax"/>
        </c:scaling>
        <c:delete val="1"/>
        <c:axPos val="b"/>
        <c:tickLblPos val="none"/>
        <c:crossAx val="101993088"/>
        <c:crosses val="autoZero"/>
        <c:auto val="1"/>
        <c:lblAlgn val="ctr"/>
        <c:lblOffset val="100"/>
      </c:catAx>
      <c:valAx>
        <c:axId val="101993088"/>
        <c:scaling>
          <c:orientation val="minMax"/>
          <c:min val="0"/>
        </c:scaling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9"/>
              <c:y val="0.1397066543152694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915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11E-3"/>
          <c:y val="6.6176470588235309E-2"/>
          <c:w val="0.11404435058078152"/>
          <c:h val="0.4264721321599584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47625</xdr:rowOff>
    </xdr:from>
    <xdr:to>
      <xdr:col>24</xdr:col>
      <xdr:colOff>542925</xdr:colOff>
      <xdr:row>19</xdr:row>
      <xdr:rowOff>142875</xdr:rowOff>
    </xdr:to>
    <xdr:graphicFrame macro="">
      <xdr:nvGraphicFramePr>
        <xdr:cNvPr id="184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18455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741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35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4"/>
  <sheetViews>
    <sheetView topLeftCell="C1" workbookViewId="0">
      <selection activeCell="F32" sqref="F32"/>
    </sheetView>
  </sheetViews>
  <sheetFormatPr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>
      <c r="A1" s="15" t="s">
        <v>15</v>
      </c>
    </row>
    <row r="3" spans="1:10">
      <c r="A3" s="9" t="s">
        <v>16</v>
      </c>
      <c r="B3" s="46" t="s">
        <v>1</v>
      </c>
      <c r="C3" s="47" t="s">
        <v>30</v>
      </c>
      <c r="D3" s="47" t="s">
        <v>2</v>
      </c>
      <c r="E3" s="46" t="s">
        <v>18</v>
      </c>
      <c r="F3" s="10" t="s">
        <v>3</v>
      </c>
      <c r="G3" s="46" t="s">
        <v>4</v>
      </c>
      <c r="H3" s="11" t="s">
        <v>0</v>
      </c>
      <c r="I3" s="1"/>
      <c r="J3" s="1"/>
    </row>
    <row r="4" spans="1:10">
      <c r="A4" s="12">
        <v>1</v>
      </c>
      <c r="B4" s="43">
        <f>IF(OR(B16="",A4=""),"",B16)</f>
        <v>40770</v>
      </c>
      <c r="C4" s="25">
        <f t="shared" ref="C4:C10" si="0">IF(A4="","",SUMIF(I$16:I$33,A4,C$16:C$33))</f>
        <v>224</v>
      </c>
      <c r="D4" s="43">
        <f>IF(OR(B4="",C4=""),"",B4+C4-1)</f>
        <v>40993</v>
      </c>
      <c r="E4" s="22">
        <f>IF(A4="","",SUMIF(I$16:I$33,'Release Plan'!A4,E$16:E$33))</f>
        <v>353</v>
      </c>
      <c r="F4" s="4"/>
      <c r="G4" s="48"/>
      <c r="H4" s="6"/>
    </row>
    <row r="5" spans="1:10">
      <c r="A5" s="13">
        <v>2</v>
      </c>
      <c r="B5" s="40">
        <f>IF(A5="","",B4+C4)</f>
        <v>40994</v>
      </c>
      <c r="C5" s="22">
        <f t="shared" si="0"/>
        <v>0</v>
      </c>
      <c r="D5" s="40">
        <f t="shared" ref="D5:D10" si="1">IF(OR(B5="",C5=""),"",B5+C5-1)</f>
        <v>40993</v>
      </c>
      <c r="E5" s="22">
        <f>IF(A5="","",SUMIF(I$16:I$33,'Release Plan'!A5,E$16:E$33))</f>
        <v>0</v>
      </c>
      <c r="F5" s="4"/>
      <c r="G5" s="49"/>
      <c r="H5" s="7"/>
    </row>
    <row r="6" spans="1:10">
      <c r="A6" s="13"/>
      <c r="B6" s="40"/>
      <c r="C6" s="22" t="str">
        <f t="shared" si="0"/>
        <v/>
      </c>
      <c r="D6" s="40" t="str">
        <f t="shared" si="1"/>
        <v/>
      </c>
      <c r="E6" s="22" t="str">
        <f>IF(A6="","",SUMIF(I$16:I$33,'Release Plan'!A6,E$16:E$33))</f>
        <v/>
      </c>
      <c r="F6" s="4"/>
      <c r="G6" s="49"/>
      <c r="H6" s="7"/>
    </row>
    <row r="7" spans="1:10">
      <c r="A7" s="13"/>
      <c r="B7" s="40"/>
      <c r="C7" s="22" t="str">
        <f t="shared" si="0"/>
        <v/>
      </c>
      <c r="D7" s="40" t="str">
        <f t="shared" si="1"/>
        <v/>
      </c>
      <c r="E7" s="22" t="str">
        <f>IF(A7="","",SUMIF(I$16:I$33,'Release Plan'!A7,E$16:E$33))</f>
        <v/>
      </c>
      <c r="F7" s="4"/>
      <c r="G7" s="49"/>
      <c r="H7" s="7"/>
    </row>
    <row r="8" spans="1:10">
      <c r="A8" s="13"/>
      <c r="B8" s="40"/>
      <c r="C8" s="22" t="str">
        <f t="shared" si="0"/>
        <v/>
      </c>
      <c r="D8" s="40" t="str">
        <f t="shared" si="1"/>
        <v/>
      </c>
      <c r="E8" s="22" t="str">
        <f>IF(A8="","",SUMIF(I$16:I$33,'Release Plan'!A8,E$16:E$33))</f>
        <v/>
      </c>
      <c r="F8" s="4"/>
      <c r="G8" s="49"/>
      <c r="H8" s="7"/>
    </row>
    <row r="9" spans="1:10">
      <c r="A9" s="13"/>
      <c r="B9" s="40"/>
      <c r="C9" s="22" t="str">
        <f t="shared" si="0"/>
        <v/>
      </c>
      <c r="D9" s="40" t="str">
        <f t="shared" si="1"/>
        <v/>
      </c>
      <c r="E9" s="22" t="str">
        <f>IF(A9="","",SUMIF(I$16:I$33,'Release Plan'!A9,E$16:E$33))</f>
        <v/>
      </c>
      <c r="F9" s="4"/>
      <c r="G9" s="49"/>
      <c r="H9" s="7"/>
    </row>
    <row r="10" spans="1:10">
      <c r="A10" s="14"/>
      <c r="B10" s="41"/>
      <c r="C10" s="42" t="str">
        <f t="shared" si="0"/>
        <v/>
      </c>
      <c r="D10" s="41" t="str">
        <f t="shared" si="1"/>
        <v/>
      </c>
      <c r="E10" s="42" t="str">
        <f>IF(A10="","",SUMIF(I$16:I$33,'Release Plan'!A10,E$16:E$33))</f>
        <v/>
      </c>
      <c r="F10" s="5"/>
      <c r="G10" s="50"/>
      <c r="H10" s="8"/>
    </row>
    <row r="11" spans="1:10">
      <c r="A11" s="37" t="s">
        <v>31</v>
      </c>
    </row>
    <row r="13" spans="1:10" ht="18">
      <c r="A13" s="15" t="s">
        <v>14</v>
      </c>
    </row>
    <row r="15" spans="1:10">
      <c r="A15" s="9" t="s">
        <v>13</v>
      </c>
      <c r="B15" s="46" t="s">
        <v>1</v>
      </c>
      <c r="C15" s="46" t="s">
        <v>30</v>
      </c>
      <c r="D15" s="46" t="s">
        <v>2</v>
      </c>
      <c r="E15" s="46" t="s">
        <v>18</v>
      </c>
      <c r="F15" s="10" t="s">
        <v>3</v>
      </c>
      <c r="G15" s="46" t="s">
        <v>4</v>
      </c>
      <c r="H15" s="74" t="s">
        <v>0</v>
      </c>
      <c r="I15" s="52" t="s">
        <v>32</v>
      </c>
      <c r="J15" s="1"/>
    </row>
    <row r="16" spans="1:10">
      <c r="A16" s="22">
        <v>1</v>
      </c>
      <c r="B16" s="78">
        <v>40770</v>
      </c>
      <c r="C16" s="27">
        <v>14</v>
      </c>
      <c r="D16" s="26">
        <f t="shared" ref="D16:D31" si="2">IF(AND(B16&lt;&gt;"",C16&lt;&gt;""),B16+C16-1,"")</f>
        <v>40783</v>
      </c>
      <c r="E16" s="22">
        <f>IF(A16="","",SUMIF('Product Backlog'!E$5:E$115,'Release Plan'!A16,'Product Backlog'!D$5:D$115))</f>
        <v>3</v>
      </c>
      <c r="F16" s="4" t="s">
        <v>125</v>
      </c>
      <c r="G16" s="27"/>
      <c r="H16" s="102" t="s">
        <v>95</v>
      </c>
      <c r="I16" s="73">
        <v>1</v>
      </c>
    </row>
    <row r="17" spans="1:9">
      <c r="A17" s="22">
        <v>2</v>
      </c>
      <c r="B17" s="26">
        <f t="shared" ref="B17:B24" si="3">IF(AND(B16&lt;&gt;"",C16&lt;&gt;"",C17&lt;&gt;""),B16+C16,"")</f>
        <v>40784</v>
      </c>
      <c r="C17" s="27">
        <v>14</v>
      </c>
      <c r="D17" s="26">
        <f t="shared" ref="D17:D23" si="4">IF(AND(B17&lt;&gt;"",C17&lt;&gt;""),B17+C17-1,"")</f>
        <v>40797</v>
      </c>
      <c r="E17" s="22">
        <f>IF(A17="","",SUMIF('Product Backlog'!E$5:E$115,'Release Plan'!A17,'Product Backlog'!D$5:D$115))</f>
        <v>5</v>
      </c>
      <c r="F17" s="4" t="s">
        <v>125</v>
      </c>
      <c r="G17" s="27"/>
      <c r="H17" s="105" t="s">
        <v>106</v>
      </c>
      <c r="I17" s="38">
        <v>1</v>
      </c>
    </row>
    <row r="18" spans="1:9">
      <c r="A18" s="22">
        <v>3</v>
      </c>
      <c r="B18" s="26">
        <f t="shared" si="3"/>
        <v>40798</v>
      </c>
      <c r="C18" s="27">
        <v>14</v>
      </c>
      <c r="D18" s="26">
        <f t="shared" si="4"/>
        <v>40811</v>
      </c>
      <c r="E18" s="22">
        <f>IF(A18="","",SUMIF('Product Backlog'!E$5:E$115,'Release Plan'!A18,'Product Backlog'!D$5:D$115))</f>
        <v>40</v>
      </c>
      <c r="F18" s="4" t="s">
        <v>125</v>
      </c>
      <c r="G18" s="27"/>
      <c r="H18" s="105" t="s">
        <v>107</v>
      </c>
      <c r="I18" s="38">
        <v>1</v>
      </c>
    </row>
    <row r="19" spans="1:9">
      <c r="A19" s="22">
        <v>4</v>
      </c>
      <c r="B19" s="26">
        <f t="shared" si="3"/>
        <v>40812</v>
      </c>
      <c r="C19" s="27">
        <v>14</v>
      </c>
      <c r="D19" s="26">
        <f t="shared" si="4"/>
        <v>40825</v>
      </c>
      <c r="E19" s="22">
        <f>IF(A19="","",SUMIF('Product Backlog'!E$5:E$115,'Release Plan'!A19,'Product Backlog'!D$5:D$115))</f>
        <v>20</v>
      </c>
      <c r="F19" s="4" t="s">
        <v>125</v>
      </c>
      <c r="G19" s="27"/>
      <c r="H19" s="105" t="s">
        <v>184</v>
      </c>
      <c r="I19" s="38">
        <v>1</v>
      </c>
    </row>
    <row r="20" spans="1:9">
      <c r="A20" s="22">
        <v>5</v>
      </c>
      <c r="B20" s="26">
        <f t="shared" si="3"/>
        <v>40826</v>
      </c>
      <c r="C20" s="27">
        <v>14</v>
      </c>
      <c r="D20" s="26">
        <f t="shared" si="4"/>
        <v>40839</v>
      </c>
      <c r="E20" s="22">
        <f>IF(A20="","",SUMIF('Product Backlog'!E$5:E$115,'Release Plan'!A20,'Product Backlog'!D$5:D$115))</f>
        <v>40</v>
      </c>
      <c r="F20" s="4" t="s">
        <v>125</v>
      </c>
      <c r="G20" s="27"/>
      <c r="H20" s="105" t="s">
        <v>108</v>
      </c>
      <c r="I20" s="38">
        <v>1</v>
      </c>
    </row>
    <row r="21" spans="1:9">
      <c r="A21" s="22">
        <v>6</v>
      </c>
      <c r="B21" s="26">
        <f t="shared" si="3"/>
        <v>40840</v>
      </c>
      <c r="C21" s="27">
        <v>14</v>
      </c>
      <c r="D21" s="26">
        <f t="shared" si="4"/>
        <v>40853</v>
      </c>
      <c r="E21" s="22">
        <f>IF(A21="","",SUMIF('Product Backlog'!E$5:E$115,'Release Plan'!A21,'Product Backlog'!D$5:D$115))</f>
        <v>40</v>
      </c>
      <c r="F21" s="4" t="s">
        <v>125</v>
      </c>
      <c r="G21" s="27"/>
      <c r="H21" s="101" t="s">
        <v>196</v>
      </c>
      <c r="I21" s="38">
        <v>1</v>
      </c>
    </row>
    <row r="22" spans="1:9">
      <c r="A22" s="22">
        <v>7</v>
      </c>
      <c r="B22" s="26">
        <f t="shared" si="3"/>
        <v>40854</v>
      </c>
      <c r="C22" s="27">
        <v>14</v>
      </c>
      <c r="D22" s="26">
        <f t="shared" si="4"/>
        <v>40867</v>
      </c>
      <c r="E22" s="22">
        <f>IF(A22="","",SUMIF('Product Backlog'!E$5:E$115,'Release Plan'!A22,'Product Backlog'!D$5:D$115))</f>
        <v>20</v>
      </c>
      <c r="F22" s="4" t="s">
        <v>125</v>
      </c>
      <c r="G22" s="27"/>
      <c r="H22" s="101" t="s">
        <v>196</v>
      </c>
      <c r="I22" s="38">
        <v>1</v>
      </c>
    </row>
    <row r="23" spans="1:9">
      <c r="A23" s="22">
        <v>8</v>
      </c>
      <c r="B23" s="26">
        <f t="shared" si="3"/>
        <v>40868</v>
      </c>
      <c r="C23" s="27">
        <v>14</v>
      </c>
      <c r="D23" s="26">
        <f t="shared" si="4"/>
        <v>40881</v>
      </c>
      <c r="E23" s="22">
        <f>IF(A23="","",SUMIF('Product Backlog'!E$5:E$115,'Release Plan'!A23,'Product Backlog'!D$5:D$115))</f>
        <v>25</v>
      </c>
      <c r="F23" s="4" t="s">
        <v>125</v>
      </c>
      <c r="G23" s="27"/>
      <c r="H23" s="105" t="s">
        <v>204</v>
      </c>
      <c r="I23" s="38">
        <v>1</v>
      </c>
    </row>
    <row r="24" spans="1:9">
      <c r="A24" s="22">
        <v>9</v>
      </c>
      <c r="B24" s="26">
        <f t="shared" si="3"/>
        <v>40882</v>
      </c>
      <c r="C24" s="27">
        <v>14</v>
      </c>
      <c r="D24" s="26">
        <f t="shared" si="2"/>
        <v>40895</v>
      </c>
      <c r="E24" s="22">
        <f>IF(A24="","",SUMIF('Product Backlog'!E$6:E$115,'Release Plan'!A24,'Product Backlog'!D$6:D$115))</f>
        <v>10</v>
      </c>
      <c r="F24" s="4" t="s">
        <v>125</v>
      </c>
      <c r="G24" s="27"/>
      <c r="H24" s="105" t="s">
        <v>212</v>
      </c>
      <c r="I24" s="38">
        <v>1</v>
      </c>
    </row>
    <row r="25" spans="1:9">
      <c r="A25" s="22">
        <v>10</v>
      </c>
      <c r="B25" s="26">
        <f t="shared" ref="B25:B30" si="5">IF(AND(B24&lt;&gt;"",C24&lt;&gt;"",C25&lt;&gt;""),B24+C24,"")</f>
        <v>40896</v>
      </c>
      <c r="C25" s="27">
        <v>14</v>
      </c>
      <c r="D25" s="26">
        <f t="shared" si="2"/>
        <v>40909</v>
      </c>
      <c r="E25" s="22">
        <f>IF(A25="","",SUMIF('Product Backlog'!E$6:E$115,'Release Plan'!A25,'Product Backlog'!D$6:D$115))</f>
        <v>30</v>
      </c>
      <c r="F25" s="4" t="s">
        <v>125</v>
      </c>
      <c r="G25" s="27"/>
      <c r="H25" s="111" t="s">
        <v>237</v>
      </c>
      <c r="I25" s="38">
        <v>1</v>
      </c>
    </row>
    <row r="26" spans="1:9">
      <c r="A26" s="22">
        <v>11</v>
      </c>
      <c r="B26" s="26">
        <f t="shared" si="5"/>
        <v>40910</v>
      </c>
      <c r="C26" s="27">
        <v>14</v>
      </c>
      <c r="D26" s="26">
        <f t="shared" si="2"/>
        <v>40923</v>
      </c>
      <c r="E26" s="22">
        <v>20</v>
      </c>
      <c r="F26" s="4" t="s">
        <v>125</v>
      </c>
      <c r="G26" s="27"/>
      <c r="H26" s="105" t="s">
        <v>238</v>
      </c>
      <c r="I26" s="38">
        <v>1</v>
      </c>
    </row>
    <row r="27" spans="1:9">
      <c r="A27" s="22">
        <v>12</v>
      </c>
      <c r="B27" s="26">
        <f t="shared" si="5"/>
        <v>40924</v>
      </c>
      <c r="C27" s="27">
        <v>14</v>
      </c>
      <c r="D27" s="26">
        <f t="shared" si="2"/>
        <v>40937</v>
      </c>
      <c r="E27" s="22">
        <v>20</v>
      </c>
      <c r="F27" s="4" t="s">
        <v>125</v>
      </c>
      <c r="G27" s="27"/>
      <c r="H27" s="105" t="s">
        <v>239</v>
      </c>
      <c r="I27" s="38">
        <v>1</v>
      </c>
    </row>
    <row r="28" spans="1:9">
      <c r="A28" s="22">
        <v>13</v>
      </c>
      <c r="B28" s="26">
        <f t="shared" si="5"/>
        <v>40938</v>
      </c>
      <c r="C28" s="27">
        <v>14</v>
      </c>
      <c r="D28" s="26">
        <f t="shared" si="2"/>
        <v>40951</v>
      </c>
      <c r="E28" s="22">
        <v>20</v>
      </c>
      <c r="F28" s="4" t="s">
        <v>125</v>
      </c>
      <c r="G28" s="27"/>
      <c r="H28" s="105" t="s">
        <v>272</v>
      </c>
      <c r="I28" s="38">
        <v>1</v>
      </c>
    </row>
    <row r="29" spans="1:9">
      <c r="A29" s="22">
        <v>14</v>
      </c>
      <c r="B29" s="26">
        <f t="shared" si="5"/>
        <v>40952</v>
      </c>
      <c r="C29" s="27">
        <v>14</v>
      </c>
      <c r="D29" s="26">
        <f t="shared" si="2"/>
        <v>40965</v>
      </c>
      <c r="E29" s="22">
        <v>20</v>
      </c>
      <c r="F29" s="113" t="s">
        <v>125</v>
      </c>
      <c r="G29" s="27"/>
      <c r="H29" s="105" t="s">
        <v>272</v>
      </c>
      <c r="I29" s="38">
        <v>1</v>
      </c>
    </row>
    <row r="30" spans="1:9">
      <c r="A30" s="112">
        <v>16</v>
      </c>
      <c r="B30" s="26">
        <f t="shared" si="5"/>
        <v>40966</v>
      </c>
      <c r="C30" s="27">
        <v>14</v>
      </c>
      <c r="D30" s="26">
        <f t="shared" si="2"/>
        <v>40979</v>
      </c>
      <c r="E30" s="112">
        <v>20</v>
      </c>
      <c r="F30" s="4" t="s">
        <v>125</v>
      </c>
      <c r="G30" s="27"/>
      <c r="H30" s="105" t="s">
        <v>287</v>
      </c>
      <c r="I30" s="38">
        <v>1</v>
      </c>
    </row>
    <row r="31" spans="1:9">
      <c r="A31" s="112">
        <v>17</v>
      </c>
      <c r="B31" s="26">
        <f>IF(AND(B30&lt;&gt;"",C30&lt;&gt;"",C31&lt;&gt;""),B30+C30,"")</f>
        <v>40980</v>
      </c>
      <c r="C31" s="27">
        <v>14</v>
      </c>
      <c r="D31" s="26">
        <f t="shared" si="2"/>
        <v>40993</v>
      </c>
      <c r="E31" s="112">
        <v>20</v>
      </c>
      <c r="F31" s="4" t="s">
        <v>76</v>
      </c>
      <c r="G31" s="27"/>
      <c r="H31" s="105" t="s">
        <v>288</v>
      </c>
      <c r="I31" s="38">
        <v>1</v>
      </c>
    </row>
    <row r="32" spans="1:9">
      <c r="A32" s="112"/>
      <c r="B32" s="26"/>
      <c r="C32" s="27"/>
      <c r="D32" s="26"/>
      <c r="E32" s="112"/>
      <c r="F32" s="4"/>
      <c r="G32" s="27"/>
      <c r="H32" s="28"/>
      <c r="I32" s="38"/>
    </row>
    <row r="33" spans="1:9">
      <c r="A33" s="112"/>
      <c r="B33" s="117"/>
      <c r="C33" s="27"/>
      <c r="D33" s="26"/>
      <c r="E33" s="112"/>
      <c r="F33" s="4"/>
      <c r="G33" s="27"/>
      <c r="H33" s="29"/>
      <c r="I33" s="39"/>
    </row>
    <row r="34" spans="1:9">
      <c r="A34" s="23"/>
      <c r="B34" s="23"/>
      <c r="C34" s="23"/>
      <c r="D34" s="24" t="s">
        <v>20</v>
      </c>
      <c r="E34" s="25">
        <f>SUMIF('Product Backlog'!E$6:E$115,"",'Product Backlog'!D$6:D$115)-SUMIF('Product Backlog'!C$6:C$115,"Removed",'Product Backlog'!D$6:D$115)</f>
        <v>0</v>
      </c>
      <c r="F34" s="23"/>
      <c r="G34" s="51"/>
      <c r="H34" s="23"/>
    </row>
  </sheetData>
  <phoneticPr fontId="2" type="noConversion"/>
  <conditionalFormatting sqref="G4:H10 E34 E5:E10 A4:D10">
    <cfRule type="expression" dxfId="279" priority="9" stopIfTrue="1">
      <formula>$F4="Planned"</formula>
    </cfRule>
    <cfRule type="expression" dxfId="278" priority="10" stopIfTrue="1">
      <formula>$F4="Ongoing"</formula>
    </cfRule>
  </conditionalFormatting>
  <conditionalFormatting sqref="F4:F10 F16:F33">
    <cfRule type="expression" dxfId="277" priority="11" stopIfTrue="1">
      <formula>$F4="Planned"</formula>
    </cfRule>
    <cfRule type="expression" dxfId="276" priority="12" stopIfTrue="1">
      <formula>$F4="Ongoing"</formula>
    </cfRule>
    <cfRule type="cellIs" dxfId="275" priority="13" stopIfTrue="1" operator="equal">
      <formula>"Unplanned"</formula>
    </cfRule>
  </conditionalFormatting>
  <conditionalFormatting sqref="E4 H16:H19 G16:G33 H25:H33 A16:E33">
    <cfRule type="expression" dxfId="274" priority="14" stopIfTrue="1">
      <formula>OR($F4="Planned",$F4="Unplanned")</formula>
    </cfRule>
    <cfRule type="expression" dxfId="273" priority="15" stopIfTrue="1">
      <formula>$F4="Ongoing"</formula>
    </cfRule>
  </conditionalFormatting>
  <conditionalFormatting sqref="H21:H24">
    <cfRule type="expression" dxfId="272" priority="18" stopIfTrue="1">
      <formula>OR($F20="Planned",$F20="Unplanned")</formula>
    </cfRule>
    <cfRule type="expression" dxfId="271" priority="19" stopIfTrue="1">
      <formula>$F20="Ongoing"</formula>
    </cfRule>
  </conditionalFormatting>
  <conditionalFormatting sqref="H20">
    <cfRule type="expression" dxfId="270" priority="7" stopIfTrue="1">
      <formula>OR($F20="Planned",$F20="Unplanned")</formula>
    </cfRule>
    <cfRule type="expression" dxfId="269" priority="8" stopIfTrue="1">
      <formula>$F20="Ongoing"</formula>
    </cfRule>
  </conditionalFormatting>
  <conditionalFormatting sqref="H21">
    <cfRule type="expression" dxfId="268" priority="4" stopIfTrue="1">
      <formula>$C21="Done"</formula>
    </cfRule>
    <cfRule type="expression" dxfId="267" priority="5" stopIfTrue="1">
      <formula>$C21="Ongoing"</formula>
    </cfRule>
    <cfRule type="expression" dxfId="266" priority="6" stopIfTrue="1">
      <formula>$C21="Removed"</formula>
    </cfRule>
  </conditionalFormatting>
  <conditionalFormatting sqref="H22">
    <cfRule type="expression" dxfId="265" priority="1" stopIfTrue="1">
      <formula>$C22="Done"</formula>
    </cfRule>
    <cfRule type="expression" dxfId="264" priority="2" stopIfTrue="1">
      <formula>$C22="Ongoing"</formula>
    </cfRule>
    <cfRule type="expression" dxfId="263" priority="3" stopIfTrue="1">
      <formula>$C22="Removed"</formula>
    </cfRule>
  </conditionalFormatting>
  <dataValidations count="1">
    <dataValidation type="list" allowBlank="1" showInputMessage="1" showErrorMessage="1" sqref="F4:F10 F16:F33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J65"/>
  <sheetViews>
    <sheetView workbookViewId="0">
      <pane ySplit="4" topLeftCell="A5" activePane="bottomLeft" state="frozen"/>
      <selection pane="bottomLeft" activeCell="C23" sqref="C23"/>
    </sheetView>
  </sheetViews>
  <sheetFormatPr defaultRowHeight="12.75"/>
  <cols>
    <col min="1" max="1" width="9.140625" style="33"/>
    <col min="2" max="2" width="39.28515625" style="31" customWidth="1"/>
    <col min="3" max="3" width="10.85546875" style="33" customWidth="1"/>
    <col min="4" max="6" width="9.140625" style="33"/>
    <col min="7" max="7" width="39.5703125" style="31" customWidth="1"/>
    <col min="8" max="16384" width="9.140625" style="34"/>
  </cols>
  <sheetData>
    <row r="1" spans="1:7" ht="18">
      <c r="A1" s="53" t="s">
        <v>5</v>
      </c>
      <c r="C1" s="32" t="s">
        <v>74</v>
      </c>
    </row>
    <row r="2" spans="1:7">
      <c r="D2" s="77"/>
    </row>
    <row r="4" spans="1:7" ht="13.5" thickBot="1">
      <c r="A4" s="44" t="s">
        <v>21</v>
      </c>
      <c r="B4" s="45" t="s">
        <v>6</v>
      </c>
      <c r="C4" s="44" t="s">
        <v>3</v>
      </c>
      <c r="D4" s="44" t="s">
        <v>18</v>
      </c>
      <c r="E4" s="44" t="s">
        <v>13</v>
      </c>
      <c r="F4" s="44" t="s">
        <v>73</v>
      </c>
      <c r="G4" s="45" t="s">
        <v>28</v>
      </c>
    </row>
    <row r="5" spans="1:7">
      <c r="A5" s="33">
        <v>1</v>
      </c>
      <c r="B5" s="101" t="s">
        <v>96</v>
      </c>
      <c r="C5" s="33" t="s">
        <v>75</v>
      </c>
      <c r="D5" s="33">
        <v>3</v>
      </c>
      <c r="E5" s="33">
        <v>1</v>
      </c>
      <c r="F5" s="33" t="s">
        <v>123</v>
      </c>
      <c r="G5" s="31" t="s">
        <v>74</v>
      </c>
    </row>
    <row r="6" spans="1:7" ht="25.5">
      <c r="A6" s="33">
        <v>2</v>
      </c>
      <c r="B6" s="101" t="s">
        <v>94</v>
      </c>
      <c r="C6" s="33" t="s">
        <v>75</v>
      </c>
      <c r="D6" s="33">
        <v>5</v>
      </c>
      <c r="E6" s="33">
        <v>2</v>
      </c>
      <c r="F6" s="33" t="s">
        <v>123</v>
      </c>
      <c r="G6" s="101" t="s">
        <v>74</v>
      </c>
    </row>
    <row r="7" spans="1:7">
      <c r="A7" s="33">
        <v>3</v>
      </c>
      <c r="B7" s="101" t="s">
        <v>97</v>
      </c>
      <c r="C7" s="33" t="s">
        <v>75</v>
      </c>
      <c r="D7" s="33">
        <v>10</v>
      </c>
      <c r="E7" s="33">
        <v>3</v>
      </c>
      <c r="F7" s="33" t="s">
        <v>124</v>
      </c>
    </row>
    <row r="8" spans="1:7">
      <c r="A8" s="33">
        <v>4</v>
      </c>
      <c r="B8" s="101" t="s">
        <v>109</v>
      </c>
      <c r="C8" s="33" t="s">
        <v>75</v>
      </c>
      <c r="D8" s="33">
        <v>20</v>
      </c>
      <c r="E8" s="33">
        <v>4</v>
      </c>
      <c r="F8" s="33" t="s">
        <v>123</v>
      </c>
    </row>
    <row r="9" spans="1:7">
      <c r="A9" s="33">
        <v>5</v>
      </c>
      <c r="B9" s="101" t="s">
        <v>110</v>
      </c>
      <c r="C9" s="33" t="s">
        <v>75</v>
      </c>
      <c r="D9" s="33">
        <v>40</v>
      </c>
      <c r="E9" s="33">
        <v>5</v>
      </c>
      <c r="F9" s="33" t="s">
        <v>123</v>
      </c>
    </row>
    <row r="10" spans="1:7">
      <c r="A10" s="33">
        <v>6</v>
      </c>
      <c r="B10" s="101" t="s">
        <v>112</v>
      </c>
      <c r="C10" s="33" t="s">
        <v>75</v>
      </c>
      <c r="D10" s="33">
        <v>30</v>
      </c>
      <c r="E10" s="33">
        <v>3</v>
      </c>
      <c r="F10" s="33" t="s">
        <v>124</v>
      </c>
    </row>
    <row r="11" spans="1:7" ht="25.5">
      <c r="A11" s="33">
        <v>7</v>
      </c>
      <c r="B11" s="101" t="s">
        <v>213</v>
      </c>
      <c r="C11" s="33" t="s">
        <v>75</v>
      </c>
      <c r="D11" s="33">
        <v>40</v>
      </c>
      <c r="E11" s="110">
        <v>6</v>
      </c>
      <c r="F11" s="33" t="s">
        <v>124</v>
      </c>
    </row>
    <row r="12" spans="1:7" ht="25.5">
      <c r="A12" s="33">
        <v>8</v>
      </c>
      <c r="B12" s="101" t="s">
        <v>213</v>
      </c>
      <c r="C12" s="33" t="s">
        <v>75</v>
      </c>
      <c r="D12" s="33">
        <v>20</v>
      </c>
      <c r="E12" s="110">
        <v>7</v>
      </c>
      <c r="F12" s="33" t="s">
        <v>124</v>
      </c>
    </row>
    <row r="13" spans="1:7">
      <c r="A13" s="33">
        <v>9</v>
      </c>
      <c r="B13" s="101" t="s">
        <v>214</v>
      </c>
      <c r="C13" s="33" t="s">
        <v>75</v>
      </c>
      <c r="D13" s="33">
        <v>25</v>
      </c>
      <c r="E13" s="110">
        <v>8</v>
      </c>
      <c r="F13" s="33" t="s">
        <v>124</v>
      </c>
    </row>
    <row r="14" spans="1:7">
      <c r="A14" s="110">
        <v>10</v>
      </c>
      <c r="B14" s="101" t="s">
        <v>220</v>
      </c>
      <c r="C14" s="33" t="s">
        <v>75</v>
      </c>
      <c r="D14" s="110">
        <v>10</v>
      </c>
      <c r="E14" s="110">
        <v>9</v>
      </c>
      <c r="F14" s="33" t="s">
        <v>124</v>
      </c>
    </row>
    <row r="15" spans="1:7">
      <c r="A15" s="110">
        <v>11</v>
      </c>
      <c r="B15" s="101" t="s">
        <v>268</v>
      </c>
      <c r="C15" s="33" t="s">
        <v>76</v>
      </c>
      <c r="D15" s="110">
        <v>30</v>
      </c>
      <c r="E15" s="110">
        <v>10</v>
      </c>
      <c r="F15" s="33" t="s">
        <v>124</v>
      </c>
    </row>
    <row r="16" spans="1:7">
      <c r="A16" s="110">
        <v>12</v>
      </c>
      <c r="B16" s="101" t="s">
        <v>215</v>
      </c>
      <c r="C16" s="33" t="s">
        <v>75</v>
      </c>
      <c r="D16" s="110">
        <v>10</v>
      </c>
      <c r="E16" s="110">
        <v>11</v>
      </c>
      <c r="F16" s="33" t="s">
        <v>124</v>
      </c>
    </row>
    <row r="17" spans="1:7">
      <c r="A17" s="110">
        <v>13</v>
      </c>
      <c r="B17" s="101" t="s">
        <v>267</v>
      </c>
      <c r="C17" s="33" t="s">
        <v>75</v>
      </c>
      <c r="D17" s="110">
        <v>15</v>
      </c>
      <c r="E17" s="110">
        <v>12</v>
      </c>
      <c r="F17" s="33" t="s">
        <v>124</v>
      </c>
    </row>
    <row r="18" spans="1:7">
      <c r="A18" s="110">
        <v>14</v>
      </c>
      <c r="B18" s="101" t="s">
        <v>269</v>
      </c>
      <c r="C18" s="33" t="s">
        <v>76</v>
      </c>
      <c r="D18" s="110">
        <v>15</v>
      </c>
      <c r="E18" s="110">
        <v>13</v>
      </c>
      <c r="F18" s="33" t="s">
        <v>124</v>
      </c>
    </row>
    <row r="19" spans="1:7">
      <c r="A19" s="110">
        <v>15</v>
      </c>
      <c r="B19" s="101" t="s">
        <v>216</v>
      </c>
      <c r="C19" s="33" t="s">
        <v>76</v>
      </c>
      <c r="D19" s="110">
        <v>20</v>
      </c>
      <c r="E19" s="110">
        <v>14</v>
      </c>
      <c r="F19" s="33" t="s">
        <v>124</v>
      </c>
    </row>
    <row r="20" spans="1:7">
      <c r="A20" s="110">
        <v>16</v>
      </c>
      <c r="B20" s="101" t="s">
        <v>270</v>
      </c>
      <c r="C20" s="33" t="s">
        <v>19</v>
      </c>
      <c r="D20" s="110">
        <v>20</v>
      </c>
      <c r="E20" s="110">
        <v>15</v>
      </c>
      <c r="F20" s="110" t="s">
        <v>124</v>
      </c>
    </row>
    <row r="21" spans="1:7">
      <c r="A21" s="110">
        <v>17</v>
      </c>
      <c r="B21" s="101" t="s">
        <v>217</v>
      </c>
      <c r="C21" s="33" t="s">
        <v>19</v>
      </c>
      <c r="D21" s="110">
        <v>20</v>
      </c>
      <c r="E21" s="110">
        <v>16</v>
      </c>
      <c r="F21" s="33" t="s">
        <v>124</v>
      </c>
    </row>
    <row r="22" spans="1:7" ht="26.25" customHeight="1">
      <c r="A22" s="33">
        <v>20</v>
      </c>
      <c r="B22" s="31" t="s">
        <v>77</v>
      </c>
      <c r="C22" s="33" t="s">
        <v>78</v>
      </c>
      <c r="D22" s="33">
        <v>0</v>
      </c>
      <c r="G22" s="101" t="s">
        <v>111</v>
      </c>
    </row>
    <row r="23" spans="1:7" ht="26.25" customHeight="1"/>
    <row r="41" spans="2:2">
      <c r="B41" s="34"/>
    </row>
    <row r="49" spans="7:10">
      <c r="J49" s="75"/>
    </row>
    <row r="54" spans="7:10">
      <c r="G54" s="76"/>
    </row>
    <row r="65" spans="1:6">
      <c r="A65" s="34"/>
      <c r="B65" s="34"/>
      <c r="C65" s="34"/>
      <c r="D65" s="34"/>
      <c r="E65" s="34"/>
      <c r="F65" s="34"/>
    </row>
  </sheetData>
  <sortState ref="A5:G53">
    <sortCondition ref="E5"/>
    <sortCondition ref="C5"/>
  </sortState>
  <phoneticPr fontId="2" type="noConversion"/>
  <conditionalFormatting sqref="G56:G64 C57:C58 A23:A64 G35:G53 B23:F56 A66:G175 B59:F64 G23:G33 A4:G22">
    <cfRule type="expression" dxfId="262" priority="3" stopIfTrue="1">
      <formula>$C4="Done"</formula>
    </cfRule>
    <cfRule type="expression" dxfId="261" priority="4" stopIfTrue="1">
      <formula>$C4="Ongoing"</formula>
    </cfRule>
    <cfRule type="expression" dxfId="260" priority="5" stopIfTrue="1">
      <formula>$C4="Removed"</formula>
    </cfRule>
  </conditionalFormatting>
  <conditionalFormatting sqref="G65">
    <cfRule type="expression" dxfId="259" priority="6" stopIfTrue="1">
      <formula>$C55="Done"</formula>
    </cfRule>
    <cfRule type="expression" dxfId="258" priority="7" stopIfTrue="1">
      <formula>$C55="Ongoing"</formula>
    </cfRule>
    <cfRule type="expression" dxfId="257" priority="8" stopIfTrue="1">
      <formula>$C55="Removed"</formula>
    </cfRule>
  </conditionalFormatting>
  <conditionalFormatting sqref="G54:G55">
    <cfRule type="expression" dxfId="256" priority="9" stopIfTrue="1">
      <formula>#REF!="Done"</formula>
    </cfRule>
    <cfRule type="expression" dxfId="255" priority="10" stopIfTrue="1">
      <formula>#REF!="Ongoing"</formula>
    </cfRule>
    <cfRule type="expression" dxfId="254" priority="11" stopIfTrue="1">
      <formula>#REF!="Removed"</formula>
    </cfRule>
  </conditionalFormatting>
  <conditionalFormatting sqref="G34">
    <cfRule type="expression" dxfId="253" priority="12" stopIfTrue="1">
      <formula>#REF!="Done"</formula>
    </cfRule>
    <cfRule type="expression" dxfId="252" priority="13" stopIfTrue="1">
      <formula>#REF!="Ongoing"</formula>
    </cfRule>
    <cfRule type="expression" dxfId="251" priority="14" stopIfTrue="1">
      <formula>#REF!="Removed"</formula>
    </cfRule>
  </conditionalFormatting>
  <dataValidations count="2">
    <dataValidation type="list" allowBlank="1" showInputMessage="1" sqref="C66:C175 C4:C64">
      <formula1>"Planned,Ongoing,Done,Removed"</formula1>
    </dataValidation>
    <dataValidation type="list" allowBlank="1" showInputMessage="1" showErrorMessage="1" sqref="F5:F21">
      <formula1>"High,Medium,Low"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51"/>
  <sheetViews>
    <sheetView workbookViewId="0">
      <selection activeCell="D41" sqref="D41"/>
    </sheetView>
  </sheetViews>
  <sheetFormatPr defaultRowHeight="12.75"/>
  <cols>
    <col min="1" max="1" width="11.85546875" customWidth="1"/>
    <col min="4" max="4" width="10.8554687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1" width="6.85546875" hidden="1" customWidth="1"/>
    <col min="12" max="12" width="8.7109375" hidden="1" customWidth="1"/>
    <col min="13" max="13" width="6.85546875" hidden="1" customWidth="1"/>
    <col min="14" max="16" width="9.140625" hidden="1" customWidth="1"/>
    <col min="17" max="17" width="10.5703125" hidden="1" customWidth="1"/>
  </cols>
  <sheetData>
    <row r="1" spans="1:26" ht="18">
      <c r="A1" s="53" t="s">
        <v>33</v>
      </c>
    </row>
    <row r="3" spans="1:26">
      <c r="A3" t="s">
        <v>37</v>
      </c>
      <c r="D3">
        <f>'Release Plan'!E4</f>
        <v>353</v>
      </c>
      <c r="F3" t="s">
        <v>39</v>
      </c>
      <c r="G3" s="54">
        <f ca="1">IF(COUNT(B28:B39)=0,1,COUNT(B28:B39))</f>
        <v>12</v>
      </c>
    </row>
    <row r="4" spans="1:26">
      <c r="A4" t="s">
        <v>40</v>
      </c>
      <c r="D4">
        <v>3</v>
      </c>
      <c r="E4" t="s">
        <v>41</v>
      </c>
      <c r="F4" t="s">
        <v>58</v>
      </c>
      <c r="G4" s="54">
        <f ca="1">IF(COUNT(D28:D51)=0,1,COUNT(D28:D51)+1)</f>
        <v>14</v>
      </c>
    </row>
    <row r="5" spans="1:26">
      <c r="F5" t="s">
        <v>42</v>
      </c>
      <c r="G5" s="54">
        <f ca="1">IF(G4&gt;D4,G4-D4,0)</f>
        <v>11</v>
      </c>
      <c r="Z5" s="37" t="s">
        <v>79</v>
      </c>
    </row>
    <row r="6" spans="1:26">
      <c r="A6" s="1" t="s">
        <v>72</v>
      </c>
      <c r="F6" t="s">
        <v>43</v>
      </c>
      <c r="G6" s="54">
        <f ca="1">TrendSprintCount-TrendOffset</f>
        <v>3</v>
      </c>
      <c r="Z6" s="37" t="s">
        <v>80</v>
      </c>
    </row>
    <row r="7" spans="1:26">
      <c r="A7" t="s">
        <v>46</v>
      </c>
      <c r="D7">
        <v>20</v>
      </c>
      <c r="Z7" s="37" t="s">
        <v>83</v>
      </c>
    </row>
    <row r="8" spans="1:26">
      <c r="A8" s="118">
        <f>D$4</f>
        <v>3</v>
      </c>
      <c r="B8" s="118"/>
      <c r="D8" s="57">
        <f ca="1">IF(D28="","",AVERAGE(OFFSET(D27,TrendOffset,0,SprintsInTrend,1)))</f>
        <v>16.033333333333335</v>
      </c>
      <c r="Z8" s="37" t="s">
        <v>84</v>
      </c>
    </row>
    <row r="9" spans="1:26">
      <c r="A9" t="s">
        <v>59</v>
      </c>
      <c r="D9" s="57">
        <f ca="1">IF(D28="","",AVERAGE(OFFSET(D27,1,0,SprintCount,1)))</f>
        <v>17.591666666666665</v>
      </c>
      <c r="F9" t="s">
        <v>51</v>
      </c>
      <c r="G9" s="54">
        <f ca="1">IF(M28="",1,COUNT(M28:M110))</f>
        <v>23</v>
      </c>
      <c r="Z9" s="37" t="s">
        <v>85</v>
      </c>
    </row>
    <row r="10" spans="1:26">
      <c r="A10" t="s">
        <v>48</v>
      </c>
      <c r="D10" s="57">
        <f ca="1">IF(D28="","",AVERAGE(LastEight))</f>
        <v>16.685714285714287</v>
      </c>
      <c r="Z10" s="37" t="s">
        <v>81</v>
      </c>
    </row>
    <row r="11" spans="1:26">
      <c r="A11" t="s">
        <v>49</v>
      </c>
      <c r="D11" s="57">
        <f ca="1">IF(D28="","",IF(TrendSprintCount&lt;4,D10,AVERAGE(SMALL(LastEight,1),SMALL(LastEight,2),SMALL(LastEight,3))))</f>
        <v>13.366666666666667</v>
      </c>
      <c r="Z11" s="37" t="s">
        <v>82</v>
      </c>
    </row>
    <row r="12" spans="1:26">
      <c r="A12" t="s">
        <v>24</v>
      </c>
      <c r="D12" s="57">
        <f ca="1">IF(M29="","",M28-M29)</f>
        <v>15.5</v>
      </c>
      <c r="Z12" s="37" t="s">
        <v>86</v>
      </c>
    </row>
    <row r="13" spans="1:26">
      <c r="F13" s="55" t="s">
        <v>52</v>
      </c>
      <c r="Z13" s="37" t="s">
        <v>87</v>
      </c>
    </row>
    <row r="14" spans="1:26">
      <c r="A14" s="1" t="s">
        <v>53</v>
      </c>
    </row>
    <row r="15" spans="1:26">
      <c r="A15" t="s">
        <v>54</v>
      </c>
      <c r="D15" s="58">
        <f>IF(D7="",0,ROUNDUP(D3/D7*0.6,0))</f>
        <v>11</v>
      </c>
    </row>
    <row r="16" spans="1:26">
      <c r="A16" t="s">
        <v>56</v>
      </c>
      <c r="D16" s="58">
        <f>IF(D7="",0,ROUNDUP(D3/D7,0))</f>
        <v>18</v>
      </c>
    </row>
    <row r="17" spans="1:17">
      <c r="A17" t="s">
        <v>55</v>
      </c>
      <c r="D17" s="58">
        <f>IF(D7="",0,ROUNDUP(D3/D7*1.6,0))</f>
        <v>29</v>
      </c>
      <c r="F17" t="s">
        <v>60</v>
      </c>
      <c r="G17">
        <f ca="1">IF(OR(D28="",D29=""),1,STDEV(D28:D51))</f>
        <v>4.8165446706225508</v>
      </c>
    </row>
    <row r="18" spans="1:17">
      <c r="A18" s="118">
        <f>D$4</f>
        <v>3</v>
      </c>
      <c r="B18" s="118"/>
      <c r="D18" s="58">
        <f ca="1">IF(D8="","",IF(LastRealized="",ROUNDUP(LastPlanned/D8,0)+SprintCount-1,ROUNDUP((LastPlanned-LastRealized)/D8+SprintCount,0)))</f>
        <v>21</v>
      </c>
    </row>
    <row r="19" spans="1:17">
      <c r="A19" t="s">
        <v>47</v>
      </c>
      <c r="D19" s="58">
        <f ca="1">IF(D9="","",IF(LastRealized="",ROUNDUP(LastPlanned/D9+SprintCount-1,0),ROUNDUP((LastPlanned-LastRealized)/D9,0)+SprintCount))</f>
        <v>21</v>
      </c>
      <c r="F19" t="s">
        <v>63</v>
      </c>
      <c r="G19">
        <f ca="1">LastPlanned</f>
        <v>159.00000000000006</v>
      </c>
    </row>
    <row r="20" spans="1:17">
      <c r="A20" t="s">
        <v>48</v>
      </c>
      <c r="D20" s="58">
        <f ca="1">IF(D10="","",IF(LastRealized="",ROUNDUP(LastPlanned/D10+SprintCount-1,0),ROUNDUP((LastPlanned-LastRealized)/D10,0)+SprintCount))</f>
        <v>21</v>
      </c>
      <c r="F20" t="s">
        <v>64</v>
      </c>
      <c r="G20">
        <f ca="1">LastRealized</f>
        <v>17.100000000000001</v>
      </c>
    </row>
    <row r="21" spans="1:17">
      <c r="A21" t="s">
        <v>49</v>
      </c>
      <c r="D21" s="58">
        <f ca="1">IF(D11="","",IF(LastRealized="",ROUNDUP(LastPlanned/D11+SprintCount-1,0),ROUNDUP((LastPlanned-LastRealized)/D11,0)+SprintCount))</f>
        <v>23</v>
      </c>
    </row>
    <row r="22" spans="1:17">
      <c r="A22" t="s">
        <v>24</v>
      </c>
      <c r="D22" s="58">
        <f ca="1">IF(COUNT(M28:M51)-1&gt;0,COUNT(M28:M51)-1,"")</f>
        <v>22</v>
      </c>
    </row>
    <row r="23" spans="1:17">
      <c r="A23" t="s">
        <v>61</v>
      </c>
      <c r="D23" s="58">
        <f ca="1">IF(D9="","",IF(LastRealized="",ROUNDUP(LastPlanned/(D9+G17)+SprintCount-1,0),ROUNDUP((LastPlanned-LastRealized)/(D9+G17)+SprintCount,0)))</f>
        <v>19</v>
      </c>
    </row>
    <row r="24" spans="1:17">
      <c r="A24" t="s">
        <v>62</v>
      </c>
      <c r="D24" s="58">
        <f ca="1">IF(D9="","",IF(LastRealized="",ROUNDUP(LastPlanned/(D9-G17)+SprintCount-1,0),ROUNDUP((LastPlanned-LastRealized)/(D9-G17)+SprintCount,0)))</f>
        <v>24</v>
      </c>
    </row>
    <row r="26" spans="1:17" ht="12.75" customHeight="1">
      <c r="F26" s="120" t="s">
        <v>24</v>
      </c>
      <c r="G26" s="120"/>
      <c r="H26" s="120"/>
      <c r="I26" s="120"/>
      <c r="J26" s="120"/>
      <c r="K26" s="120"/>
      <c r="L26" s="120"/>
      <c r="M26" s="120"/>
      <c r="N26" s="120"/>
      <c r="O26" s="120" t="s">
        <v>69</v>
      </c>
      <c r="P26" s="120"/>
      <c r="Q26" s="120"/>
    </row>
    <row r="27" spans="1:17" s="3" customFormat="1" ht="26.25" thickBot="1">
      <c r="A27" s="59" t="s">
        <v>13</v>
      </c>
      <c r="B27" s="60" t="s">
        <v>65</v>
      </c>
      <c r="C27" s="60" t="s">
        <v>66</v>
      </c>
      <c r="D27" s="61" t="s">
        <v>67</v>
      </c>
      <c r="E27" s="61" t="s">
        <v>68</v>
      </c>
      <c r="F27" s="62" t="s">
        <v>35</v>
      </c>
      <c r="G27" s="119" t="s">
        <v>38</v>
      </c>
      <c r="H27" s="119"/>
      <c r="I27" s="62" t="s">
        <v>36</v>
      </c>
      <c r="J27" s="63"/>
      <c r="K27" s="62" t="s">
        <v>57</v>
      </c>
      <c r="L27" s="62" t="s">
        <v>50</v>
      </c>
      <c r="M27" s="62" t="s">
        <v>45</v>
      </c>
      <c r="N27" s="64" t="s">
        <v>44</v>
      </c>
      <c r="O27" s="62" t="s">
        <v>34</v>
      </c>
      <c r="P27" s="62" t="s">
        <v>70</v>
      </c>
      <c r="Q27" s="62" t="s">
        <v>71</v>
      </c>
    </row>
    <row r="28" spans="1:17">
      <c r="A28" s="56">
        <v>1</v>
      </c>
      <c r="B28" s="2">
        <f>D3</f>
        <v>353</v>
      </c>
      <c r="C28" s="2">
        <f ca="1">Sprint1!TotalEffort</f>
        <v>23</v>
      </c>
      <c r="D28" s="2">
        <v>22</v>
      </c>
      <c r="E28" s="56">
        <f>B28</f>
        <v>353</v>
      </c>
      <c r="F28" s="54">
        <f>B28</f>
        <v>353</v>
      </c>
      <c r="G28" s="54">
        <f t="shared" ref="G28:G51" si="0">F28</f>
        <v>353</v>
      </c>
      <c r="H28" s="54">
        <f t="shared" ref="H28:H33" si="1">I28</f>
        <v>0</v>
      </c>
      <c r="I28" s="54">
        <v>0</v>
      </c>
      <c r="K28">
        <f t="shared" ref="K28:K33" si="2">IF(F28&lt;I28,I28,F28)</f>
        <v>353</v>
      </c>
      <c r="L28" s="54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328.9666666666667</v>
      </c>
      <c r="M28" s="54">
        <f ca="1">L28</f>
        <v>328.9666666666667</v>
      </c>
      <c r="N28" s="54">
        <f t="shared" ref="N28:N51" ca="1" si="4">OFFSET($I$27,TrendSprintCount,0,1,1)</f>
        <v>-5.6843418860808015E-14</v>
      </c>
      <c r="O28" s="65">
        <f t="shared" ref="O28:O51" ca="1" si="5">D$9</f>
        <v>17.591666666666665</v>
      </c>
      <c r="P28" s="65">
        <f t="shared" ref="P28:P51" ca="1" si="6">D$10</f>
        <v>16.685714285714287</v>
      </c>
      <c r="Q28" s="65">
        <f t="shared" ref="Q28:Q51" ca="1" si="7">D$11</f>
        <v>13.366666666666667</v>
      </c>
    </row>
    <row r="29" spans="1:17">
      <c r="A29" s="56">
        <v>2</v>
      </c>
      <c r="B29" s="2">
        <f t="shared" ref="B29:B51" ca="1" si="8">IF(OR(B28="",C28=""),"",IF(D28="",IF(B28-C28&lt;=0,"",B28-C28),IF(B28-D28&lt;=0,"",B28-D28)))</f>
        <v>331</v>
      </c>
      <c r="C29" s="2">
        <f ca="1">Sprint2!TotalEffort</f>
        <v>26</v>
      </c>
      <c r="D29" s="2">
        <f ca="1">C29-6.9</f>
        <v>19.100000000000001</v>
      </c>
      <c r="E29" s="56">
        <f ca="1">IF(B29="","",IF(D28="",E28,B29+SUM(D$28:D28)))</f>
        <v>353</v>
      </c>
      <c r="F29" s="54">
        <f t="shared" ref="F29:F34" ca="1" si="9">IF(B29="",IF(B28="","",IF(D28="","",I28)),IF(AND(D28="",C28=""),"",IF(AND(D28="",C28&lt;&gt;""),IF(I28&gt;F28,F28,I28),F28-D28)))</f>
        <v>331</v>
      </c>
      <c r="G29" s="54">
        <f t="shared" ca="1" si="0"/>
        <v>331</v>
      </c>
      <c r="H29" s="54">
        <f t="shared" ca="1" si="1"/>
        <v>0</v>
      </c>
      <c r="I29" s="54">
        <f ca="1">IF(B29="",IF(B28="","",IF(D28="","",F28-D28)),IF(AND(C28="",D28=""),"",IF(AND(D28="",C28&lt;&gt;""),IF(I28&gt;F28,I28-C28,F28-C28),B$28-B29-SUM(D$28:D28))))</f>
        <v>0</v>
      </c>
      <c r="K29">
        <f t="shared" ca="1" si="2"/>
        <v>331</v>
      </c>
      <c r="L29" s="54">
        <f t="shared" ca="1" si="3"/>
        <v>313.4666666666667</v>
      </c>
      <c r="M29" s="54">
        <f ca="1">IF(L29=L28,"",L29)</f>
        <v>313.4666666666667</v>
      </c>
      <c r="N29" s="54">
        <f t="shared" ca="1" si="4"/>
        <v>-5.6843418860808015E-14</v>
      </c>
      <c r="O29" s="65">
        <f t="shared" ca="1" si="5"/>
        <v>17.591666666666665</v>
      </c>
      <c r="P29" s="65">
        <f t="shared" ca="1" si="6"/>
        <v>16.685714285714287</v>
      </c>
      <c r="Q29" s="65">
        <f t="shared" ca="1" si="7"/>
        <v>13.366666666666667</v>
      </c>
    </row>
    <row r="30" spans="1:17">
      <c r="A30" s="56">
        <v>3</v>
      </c>
      <c r="B30" s="2">
        <f t="shared" ca="1" si="8"/>
        <v>311.89999999999998</v>
      </c>
      <c r="C30" s="2">
        <f ca="1">Sprint3!TotalEffort</f>
        <v>16.899999999999999</v>
      </c>
      <c r="D30" s="2">
        <f ca="1">C30-6</f>
        <v>10.899999999999999</v>
      </c>
      <c r="E30" s="56">
        <f ca="1">IF(B30="","",IF(D29="",E29,B30+SUM(D$28:D29)))</f>
        <v>353</v>
      </c>
      <c r="F30" s="54">
        <f t="shared" ca="1" si="9"/>
        <v>311.89999999999998</v>
      </c>
      <c r="G30" s="54">
        <f t="shared" ca="1" si="0"/>
        <v>311.89999999999998</v>
      </c>
      <c r="H30" s="54">
        <v>0</v>
      </c>
      <c r="I30" s="54">
        <f ca="1">IF(B30="",IF(B29="","",IF(D29="","",F29-D29)),IF(AND(C29="",D29=""),"",IF(AND(D29="",C29&lt;&gt;""),IF(I29&gt;F29,I29-C29,F29-C29),B$28-B30-SUM(D$28:D29))))</f>
        <v>2.1316282072803006E-14</v>
      </c>
      <c r="K30">
        <f t="shared" ca="1" si="2"/>
        <v>311.89999999999998</v>
      </c>
      <c r="L30" s="54">
        <f t="shared" ca="1" si="3"/>
        <v>297.9666666666667</v>
      </c>
      <c r="M30" s="54">
        <f t="shared" ref="M30:M51" ca="1" si="10">IF(L30=L29,"",L30)</f>
        <v>297.9666666666667</v>
      </c>
      <c r="N30" s="54">
        <f t="shared" ca="1" si="4"/>
        <v>-5.6843418860808015E-14</v>
      </c>
      <c r="O30" s="65">
        <f t="shared" ca="1" si="5"/>
        <v>17.591666666666665</v>
      </c>
      <c r="P30" s="65">
        <f t="shared" ca="1" si="6"/>
        <v>16.685714285714287</v>
      </c>
      <c r="Q30" s="65">
        <f t="shared" ca="1" si="7"/>
        <v>13.366666666666667</v>
      </c>
    </row>
    <row r="31" spans="1:17">
      <c r="A31" s="56">
        <v>4</v>
      </c>
      <c r="B31" s="2">
        <f t="shared" ca="1" si="8"/>
        <v>301</v>
      </c>
      <c r="C31" s="2">
        <f ca="1">Sprint4!TotalEffort</f>
        <v>37.400000000000013</v>
      </c>
      <c r="D31" s="2">
        <v>24.4</v>
      </c>
      <c r="E31" s="56">
        <f ca="1">IF(B31="","",IF(D30="",E30,B31+SUM(D$28:D30)))</f>
        <v>353</v>
      </c>
      <c r="F31" s="54">
        <f t="shared" ca="1" si="9"/>
        <v>301</v>
      </c>
      <c r="G31" s="54">
        <f t="shared" ca="1" si="0"/>
        <v>301</v>
      </c>
      <c r="H31" s="54">
        <f t="shared" ca="1" si="1"/>
        <v>0</v>
      </c>
      <c r="I31" s="54">
        <f ca="1">IF(B31="",IF(B30="","",IF(D30="","",F30-D30)),IF(AND(C30="",D30=""),"",IF(AND(D30="",C30&lt;&gt;""),IF(I30&gt;F30,I30-C30,F30-C30),B$28-B31-SUM(D$28:D30))))</f>
        <v>0</v>
      </c>
      <c r="K31">
        <f t="shared" ca="1" si="2"/>
        <v>301</v>
      </c>
      <c r="L31" s="54">
        <f t="shared" ca="1" si="3"/>
        <v>282.4666666666667</v>
      </c>
      <c r="M31" s="54">
        <f t="shared" ca="1" si="10"/>
        <v>282.4666666666667</v>
      </c>
      <c r="N31" s="54">
        <f t="shared" ca="1" si="4"/>
        <v>-5.6843418860808015E-14</v>
      </c>
      <c r="O31" s="65">
        <f t="shared" ca="1" si="5"/>
        <v>17.591666666666665</v>
      </c>
      <c r="P31" s="65">
        <f t="shared" ca="1" si="6"/>
        <v>16.685714285714287</v>
      </c>
      <c r="Q31" s="65">
        <f t="shared" ca="1" si="7"/>
        <v>13.366666666666667</v>
      </c>
    </row>
    <row r="32" spans="1:17">
      <c r="A32" s="56">
        <v>5</v>
      </c>
      <c r="B32" s="2">
        <f ca="1">IF(OR(B31="",C31=""),"",IF(D31="",IF(B31-C31&lt;=0,"",B31-C31),IF(B31-D31&lt;=0,"",B31-D31)))</f>
        <v>276.60000000000002</v>
      </c>
      <c r="C32" s="2">
        <f ca="1">Sprint5!TotalEffort</f>
        <v>21.099999999999994</v>
      </c>
      <c r="D32" s="2">
        <v>19.899999999999999</v>
      </c>
      <c r="E32" s="56">
        <f ca="1">IF(B32="","",IF(D31="",E31,B32+SUM(D$28:D31)))</f>
        <v>353</v>
      </c>
      <c r="F32" s="54">
        <f t="shared" ca="1" si="9"/>
        <v>276.60000000000002</v>
      </c>
      <c r="G32" s="54">
        <f t="shared" ca="1" si="0"/>
        <v>276.60000000000002</v>
      </c>
      <c r="H32" s="54">
        <f t="shared" ca="1" si="1"/>
        <v>-2.8421709430404007E-14</v>
      </c>
      <c r="I32" s="54">
        <f ca="1">IF(B32="",IF(B31="","",IF(D31="","",F31-D31)),IF(AND(C31="",D31=""),"",IF(AND(D31="",C31&lt;&gt;""),IF(I31&gt;F31,I31-C31,F31-C31),B$28-B32-SUM(D$28:D31))))</f>
        <v>-2.8421709430404007E-14</v>
      </c>
      <c r="K32">
        <f t="shared" ca="1" si="2"/>
        <v>276.60000000000002</v>
      </c>
      <c r="L32" s="54">
        <f t="shared" ca="1" si="3"/>
        <v>266.9666666666667</v>
      </c>
      <c r="M32" s="54">
        <f t="shared" ca="1" si="10"/>
        <v>266.9666666666667</v>
      </c>
      <c r="N32" s="54">
        <f t="shared" ca="1" si="4"/>
        <v>-5.6843418860808015E-14</v>
      </c>
      <c r="O32" s="65">
        <f t="shared" ca="1" si="5"/>
        <v>17.591666666666665</v>
      </c>
      <c r="P32" s="65">
        <f t="shared" ca="1" si="6"/>
        <v>16.685714285714287</v>
      </c>
      <c r="Q32" s="65">
        <f t="shared" ca="1" si="7"/>
        <v>13.366666666666667</v>
      </c>
    </row>
    <row r="33" spans="1:17">
      <c r="A33" s="56">
        <v>6</v>
      </c>
      <c r="B33" s="2">
        <f ca="1">IF(OR(B32="",C32=""),"",IF(D32="",IF(B32-C32&lt;=0,"",B32-C32),IF(B32-D32&lt;=0,"",B32-D32)))</f>
        <v>256.70000000000005</v>
      </c>
      <c r="C33" s="2">
        <f ca="1">Sprint6!TotalEffort</f>
        <v>33.200000000000003</v>
      </c>
      <c r="D33" s="2">
        <v>11.9</v>
      </c>
      <c r="E33" s="56">
        <f ca="1">IF(B33="","",IF(D32="",E32,B33+SUM(D$28:D32)))</f>
        <v>353.00000000000006</v>
      </c>
      <c r="F33" s="54">
        <f t="shared" ca="1" si="9"/>
        <v>256.70000000000005</v>
      </c>
      <c r="G33" s="54">
        <f t="shared" ca="1" si="0"/>
        <v>256.70000000000005</v>
      </c>
      <c r="H33" s="54">
        <f t="shared" ca="1" si="1"/>
        <v>-5.6843418860808015E-14</v>
      </c>
      <c r="I33" s="54">
        <f ca="1">IF(B33="",IF(B32="","",IF(D32="","",F32-D32)),IF(AND(C32="",D32=""),"",IF(AND(D32="",C32&lt;&gt;""),IF(I32&gt;F32,I32-C32,F32-C32),B$28-B33-SUM(D$28:D32))))</f>
        <v>-5.6843418860808015E-14</v>
      </c>
      <c r="K33">
        <f t="shared" ca="1" si="2"/>
        <v>256.70000000000005</v>
      </c>
      <c r="L33" s="54">
        <f t="shared" ca="1" si="3"/>
        <v>251.4666666666667</v>
      </c>
      <c r="M33" s="54">
        <f t="shared" ca="1" si="10"/>
        <v>251.4666666666667</v>
      </c>
      <c r="N33" s="54">
        <f t="shared" ca="1" si="4"/>
        <v>-5.6843418860808015E-14</v>
      </c>
      <c r="O33" s="65">
        <f t="shared" ca="1" si="5"/>
        <v>17.591666666666665</v>
      </c>
      <c r="P33" s="65">
        <f t="shared" ca="1" si="6"/>
        <v>16.685714285714287</v>
      </c>
      <c r="Q33" s="65">
        <f t="shared" ca="1" si="7"/>
        <v>13.366666666666667</v>
      </c>
    </row>
    <row r="34" spans="1:17">
      <c r="A34" s="56">
        <v>7</v>
      </c>
      <c r="B34" s="2">
        <f ca="1">IF(OR(B33="",C33=""),"",IF(D33="",IF(B33-C33&lt;=0,"",B33-C33),IF(B33-D33&lt;=0,"",B33-D33)))</f>
        <v>244.80000000000004</v>
      </c>
      <c r="C34" s="2">
        <f ca="1">Sprint7!TotalEffort</f>
        <v>22.5</v>
      </c>
      <c r="D34" s="2">
        <v>17.399999999999999</v>
      </c>
      <c r="E34" s="56">
        <f ca="1">IF(B34="","",IF(D33="",E33,B34+SUM(D$28:D33)))</f>
        <v>353.00000000000006</v>
      </c>
      <c r="F34" s="54">
        <f t="shared" ca="1" si="9"/>
        <v>244.80000000000004</v>
      </c>
      <c r="G34" s="54">
        <f t="shared" ca="1" si="0"/>
        <v>244.80000000000004</v>
      </c>
      <c r="H34" s="54">
        <f t="shared" ref="H34:H51" ca="1" si="11">I34</f>
        <v>-5.6843418860808015E-14</v>
      </c>
      <c r="I34" s="54">
        <f ca="1">IF(B34="",IF(B33="","",IF(D33="","",F33-D33)),IF(AND(C33="",D33=""),"",IF(AND(D33="",C33&lt;&gt;""),IF(I33&gt;F33,I33-C33,F33-C33),B$28-B34-SUM(D$28:D33))))</f>
        <v>-5.6843418860808015E-14</v>
      </c>
      <c r="K34">
        <f t="shared" ref="K34:K51" ca="1" si="12">IF(F34&lt;I34,I34,F34)</f>
        <v>244.80000000000004</v>
      </c>
      <c r="L34" s="54">
        <f t="shared" ca="1" si="3"/>
        <v>235.9666666666667</v>
      </c>
      <c r="M34" s="54">
        <f t="shared" ca="1" si="10"/>
        <v>235.9666666666667</v>
      </c>
      <c r="N34" s="54">
        <f t="shared" ca="1" si="4"/>
        <v>-5.6843418860808015E-14</v>
      </c>
      <c r="O34" s="65">
        <f t="shared" ca="1" si="5"/>
        <v>17.591666666666665</v>
      </c>
      <c r="P34" s="65">
        <f t="shared" ca="1" si="6"/>
        <v>16.685714285714287</v>
      </c>
      <c r="Q34" s="65">
        <f t="shared" ca="1" si="7"/>
        <v>13.366666666666667</v>
      </c>
    </row>
    <row r="35" spans="1:17">
      <c r="A35" s="56">
        <v>8</v>
      </c>
      <c r="B35" s="2">
        <f ca="1">IF(OR(B34="",C34=""),"",IF(D34="",IF(B34-C34&lt;=0,"",B34-C34),IF(B34-D34&lt;=0,"",B34-D34)))</f>
        <v>227.40000000000003</v>
      </c>
      <c r="C35" s="2">
        <f ca="1">Sprint8!TotalEffort</f>
        <v>26.1</v>
      </c>
      <c r="D35" s="2">
        <v>18.100000000000001</v>
      </c>
      <c r="E35" s="56">
        <f ca="1">IF(B35="","",IF(D34="",E34,B35+SUM(D$28:D34)))</f>
        <v>353.00000000000006</v>
      </c>
      <c r="F35" s="54">
        <f t="shared" ref="F35:F51" ca="1" si="13">IF(B35="",IF(B34="","",IF(D34="","",I34)),IF(AND(D34="",C34=""),"",IF(AND(D34="",C34&lt;&gt;""),IF(I34&gt;F34,F34,I34),F34-D34)))</f>
        <v>227.40000000000003</v>
      </c>
      <c r="G35" s="54">
        <f t="shared" ca="1" si="0"/>
        <v>227.40000000000003</v>
      </c>
      <c r="H35" s="54">
        <f t="shared" ca="1" si="11"/>
        <v>-5.6843418860808015E-14</v>
      </c>
      <c r="I35" s="54">
        <f ca="1">IF(B35="",IF(B34="","",IF(D34="","",F34-D34)),IF(AND(C34="",D34=""),"",IF(AND(D34="",C34&lt;&gt;""),IF(I34&gt;F34,I34-C34,F34-C34),B$28-B35-SUM(D$28:D34))))</f>
        <v>-5.6843418860808015E-14</v>
      </c>
      <c r="K35">
        <f t="shared" ca="1" si="12"/>
        <v>227.40000000000003</v>
      </c>
      <c r="L35" s="54">
        <f t="shared" ca="1" si="3"/>
        <v>220.4666666666667</v>
      </c>
      <c r="M35" s="54">
        <f t="shared" ca="1" si="10"/>
        <v>220.4666666666667</v>
      </c>
      <c r="N35" s="54">
        <f t="shared" ca="1" si="4"/>
        <v>-5.6843418860808015E-14</v>
      </c>
      <c r="O35" s="65">
        <f t="shared" ca="1" si="5"/>
        <v>17.591666666666665</v>
      </c>
      <c r="P35" s="65">
        <f t="shared" ca="1" si="6"/>
        <v>16.685714285714287</v>
      </c>
      <c r="Q35" s="65">
        <f t="shared" ca="1" si="7"/>
        <v>13.366666666666667</v>
      </c>
    </row>
    <row r="36" spans="1:17">
      <c r="A36" s="56">
        <v>9</v>
      </c>
      <c r="B36" s="2">
        <f ca="1">IF(OR(B35="",C35=""),"",IF(D35="",IF(B35-C35&lt;=0,"",B35-C35),IF(B35-D35&lt;=0,"",B35-D35)))</f>
        <v>209.30000000000004</v>
      </c>
      <c r="C36" s="2">
        <f ca="1">Sprint9!TotalEffort</f>
        <v>48.1</v>
      </c>
      <c r="D36" s="2">
        <v>24.1</v>
      </c>
      <c r="E36" s="56">
        <f ca="1">IF(B36="","",IF(D35="",E35,B36+SUM(D$28:D35)))</f>
        <v>353.00000000000006</v>
      </c>
      <c r="F36" s="54">
        <f t="shared" ca="1" si="13"/>
        <v>209.30000000000004</v>
      </c>
      <c r="G36" s="54">
        <f t="shared" ca="1" si="0"/>
        <v>209.30000000000004</v>
      </c>
      <c r="H36" s="54">
        <f t="shared" ca="1" si="11"/>
        <v>-5.6843418860808015E-14</v>
      </c>
      <c r="I36" s="54">
        <f ca="1">IF(B36="",IF(B35="","",IF(D35="","",F35-D35)),IF(AND(C35="",D35=""),"",IF(AND(D35="",C35&lt;&gt;""),IF(I35&gt;F35,I35-C35,F35-C35),B$28-B36-SUM(D$28:D35))))</f>
        <v>-5.6843418860808015E-14</v>
      </c>
      <c r="K36">
        <f t="shared" ca="1" si="12"/>
        <v>209.30000000000004</v>
      </c>
      <c r="L36" s="54">
        <f t="shared" ca="1" si="3"/>
        <v>204.96666666666673</v>
      </c>
      <c r="M36" s="54">
        <f t="shared" ca="1" si="10"/>
        <v>204.96666666666673</v>
      </c>
      <c r="N36" s="54">
        <f t="shared" ca="1" si="4"/>
        <v>-5.6843418860808015E-14</v>
      </c>
      <c r="O36" s="65">
        <f t="shared" ca="1" si="5"/>
        <v>17.591666666666665</v>
      </c>
      <c r="P36" s="65">
        <f t="shared" ca="1" si="6"/>
        <v>16.685714285714287</v>
      </c>
      <c r="Q36" s="65">
        <f t="shared" ca="1" si="7"/>
        <v>13.366666666666667</v>
      </c>
    </row>
    <row r="37" spans="1:17">
      <c r="A37" s="56">
        <v>10</v>
      </c>
      <c r="B37" s="2">
        <f t="shared" ca="1" si="8"/>
        <v>185.20000000000005</v>
      </c>
      <c r="C37" s="2">
        <f ca="1">Sprint10!TotalEffort</f>
        <v>34.1</v>
      </c>
      <c r="D37" s="2">
        <v>9.1</v>
      </c>
      <c r="E37" s="56">
        <f ca="1">IF(B37="","",IF(D36="",E36,B37+SUM(D$28:D36)))</f>
        <v>353.00000000000006</v>
      </c>
      <c r="F37" s="54">
        <f t="shared" ca="1" si="13"/>
        <v>185.20000000000005</v>
      </c>
      <c r="G37" s="54">
        <f t="shared" ca="1" si="0"/>
        <v>185.20000000000005</v>
      </c>
      <c r="H37" s="54">
        <f t="shared" ca="1" si="11"/>
        <v>-5.6843418860808015E-14</v>
      </c>
      <c r="I37" s="54">
        <f ca="1">IF(B37="",IF(B36="","",IF(D36="","",F36-D36)),IF(AND(C36="",D36=""),"",IF(AND(D36="",C36&lt;&gt;""),IF(I36&gt;F36,I36-C36,F36-C36),B$28-B37-SUM(D$28:D36))))</f>
        <v>-5.6843418860808015E-14</v>
      </c>
      <c r="K37">
        <f t="shared" ca="1" si="12"/>
        <v>185.20000000000005</v>
      </c>
      <c r="L37" s="54">
        <f t="shared" ca="1" si="3"/>
        <v>189.46666666666673</v>
      </c>
      <c r="M37" s="54">
        <f t="shared" ca="1" si="10"/>
        <v>189.46666666666673</v>
      </c>
      <c r="N37" s="54">
        <f t="shared" ca="1" si="4"/>
        <v>-5.6843418860808015E-14</v>
      </c>
      <c r="O37" s="65">
        <f t="shared" ca="1" si="5"/>
        <v>17.591666666666665</v>
      </c>
      <c r="P37" s="65">
        <f t="shared" ca="1" si="6"/>
        <v>16.685714285714287</v>
      </c>
      <c r="Q37" s="65">
        <f t="shared" ca="1" si="7"/>
        <v>13.366666666666667</v>
      </c>
    </row>
    <row r="38" spans="1:17">
      <c r="A38" s="56">
        <v>11</v>
      </c>
      <c r="B38" s="2">
        <f t="shared" ca="1" si="8"/>
        <v>176.10000000000005</v>
      </c>
      <c r="C38" s="2">
        <f ca="1">Sprint11!TotalEffort</f>
        <v>36.1</v>
      </c>
      <c r="D38" s="2">
        <v>17.100000000000001</v>
      </c>
      <c r="E38" s="56">
        <f ca="1">IF(B38="","",IF(D37="",E37,B38+SUM(D$28:D37)))</f>
        <v>353.00000000000006</v>
      </c>
      <c r="F38" s="54">
        <f t="shared" ca="1" si="13"/>
        <v>176.10000000000005</v>
      </c>
      <c r="G38" s="54">
        <f t="shared" ca="1" si="0"/>
        <v>176.10000000000005</v>
      </c>
      <c r="H38" s="54">
        <f t="shared" ca="1" si="11"/>
        <v>-5.6843418860808015E-14</v>
      </c>
      <c r="I38" s="54">
        <f ca="1">IF(B38="",IF(B37="","",IF(D37="","",F37-D37)),IF(AND(C37="",D37=""),"",IF(AND(D37="",C37&lt;&gt;""),IF(I37&gt;F37,I37-C37,F37-C37),B$28-B38-SUM(D$28:D37))))</f>
        <v>-5.6843418860808015E-14</v>
      </c>
      <c r="K38">
        <f t="shared" ca="1" si="12"/>
        <v>176.10000000000005</v>
      </c>
      <c r="L38" s="54">
        <f t="shared" ca="1" si="3"/>
        <v>173.96666666666673</v>
      </c>
      <c r="M38" s="54">
        <f t="shared" ca="1" si="10"/>
        <v>173.96666666666673</v>
      </c>
      <c r="N38" s="54">
        <f t="shared" ca="1" si="4"/>
        <v>-5.6843418860808015E-14</v>
      </c>
      <c r="O38" s="65">
        <f t="shared" ca="1" si="5"/>
        <v>17.591666666666665</v>
      </c>
      <c r="P38" s="65">
        <f t="shared" ca="1" si="6"/>
        <v>16.685714285714287</v>
      </c>
      <c r="Q38" s="65">
        <f t="shared" ca="1" si="7"/>
        <v>13.366666666666667</v>
      </c>
    </row>
    <row r="39" spans="1:17">
      <c r="A39" s="56">
        <v>12</v>
      </c>
      <c r="B39" s="2">
        <f t="shared" ca="1" si="8"/>
        <v>159.00000000000006</v>
      </c>
      <c r="C39" s="2">
        <f ca="1">Sprint12!TotalEffort</f>
        <v>27.1</v>
      </c>
      <c r="D39" s="2">
        <v>17.100000000000001</v>
      </c>
      <c r="E39" s="56">
        <f ca="1">IF(B39="","",IF(D38="",E38,B39+SUM(D$28:D38)))</f>
        <v>353.00000000000006</v>
      </c>
      <c r="F39" s="54">
        <f t="shared" ca="1" si="13"/>
        <v>159.00000000000006</v>
      </c>
      <c r="G39" s="54">
        <f t="shared" ca="1" si="0"/>
        <v>159.00000000000006</v>
      </c>
      <c r="H39" s="54">
        <f t="shared" ca="1" si="11"/>
        <v>-5.6843418860808015E-14</v>
      </c>
      <c r="I39" s="54">
        <f ca="1">IF(B39="",IF(B38="","",IF(D38="","",F38-D38)),IF(AND(C38="",D38=""),"",IF(AND(D38="",C38&lt;&gt;""),IF(I38&gt;F38,I38-C38,F38-C38),B$28-B39-SUM(D$28:D38))))</f>
        <v>-5.6843418860808015E-14</v>
      </c>
      <c r="K39">
        <f t="shared" ca="1" si="12"/>
        <v>159.00000000000006</v>
      </c>
      <c r="L39" s="54">
        <f t="shared" ca="1" si="3"/>
        <v>158.46666666666673</v>
      </c>
      <c r="M39" s="54">
        <f t="shared" ca="1" si="10"/>
        <v>158.46666666666673</v>
      </c>
      <c r="N39" s="54">
        <f t="shared" ca="1" si="4"/>
        <v>-5.6843418860808015E-14</v>
      </c>
      <c r="O39" s="65">
        <f t="shared" ca="1" si="5"/>
        <v>17.591666666666665</v>
      </c>
      <c r="P39" s="65">
        <f t="shared" ca="1" si="6"/>
        <v>16.685714285714287</v>
      </c>
      <c r="Q39" s="65">
        <f t="shared" ca="1" si="7"/>
        <v>13.366666666666667</v>
      </c>
    </row>
    <row r="40" spans="1:17">
      <c r="A40" s="56">
        <v>13</v>
      </c>
      <c r="B40" s="2">
        <f t="shared" ca="1" si="8"/>
        <v>141.90000000000006</v>
      </c>
      <c r="C40" s="2">
        <f ca="1">Sprint13!TotalEffort</f>
        <v>36.900000000000013</v>
      </c>
      <c r="D40" s="2">
        <v>13.9</v>
      </c>
      <c r="E40" s="56">
        <f ca="1">IF(B40="","",IF(D39="",E39,B40+SUM(D$28:D39)))</f>
        <v>353.00000000000006</v>
      </c>
      <c r="F40" s="54">
        <f t="shared" ca="1" si="13"/>
        <v>141.90000000000006</v>
      </c>
      <c r="G40" s="54">
        <f t="shared" ca="1" si="0"/>
        <v>141.90000000000006</v>
      </c>
      <c r="H40" s="54">
        <f t="shared" ca="1" si="11"/>
        <v>-5.6843418860808015E-14</v>
      </c>
      <c r="I40" s="54">
        <f ca="1">IF(B40="",IF(B39="","",IF(D39="","",F39-D39)),IF(AND(C39="",D39=""),"",IF(AND(D39="",C39&lt;&gt;""),IF(I39&gt;F39,I39-C39,F39-C39),B$28-B40-SUM(D$28:D39))))</f>
        <v>-5.6843418860808015E-14</v>
      </c>
      <c r="K40">
        <f t="shared" ca="1" si="12"/>
        <v>141.90000000000006</v>
      </c>
      <c r="L40" s="54">
        <f t="shared" ca="1" si="3"/>
        <v>142.96666666666673</v>
      </c>
      <c r="M40" s="54">
        <f t="shared" ca="1" si="10"/>
        <v>142.96666666666673</v>
      </c>
      <c r="N40" s="54">
        <f t="shared" ca="1" si="4"/>
        <v>-5.6843418860808015E-14</v>
      </c>
      <c r="O40" s="65">
        <f t="shared" ca="1" si="5"/>
        <v>17.591666666666665</v>
      </c>
      <c r="P40" s="65">
        <f t="shared" ca="1" si="6"/>
        <v>16.685714285714287</v>
      </c>
      <c r="Q40" s="65">
        <f t="shared" ca="1" si="7"/>
        <v>13.366666666666667</v>
      </c>
    </row>
    <row r="41" spans="1:17">
      <c r="A41" s="56">
        <v>14</v>
      </c>
      <c r="B41" s="2">
        <f t="shared" ca="1" si="8"/>
        <v>128.00000000000006</v>
      </c>
      <c r="C41" s="2"/>
      <c r="E41" s="56">
        <f ca="1">IF(B41="","",IF(D40="",E40,B41+SUM(D$28:D40)))</f>
        <v>353.00000000000006</v>
      </c>
      <c r="F41" s="54">
        <f t="shared" ca="1" si="13"/>
        <v>128.00000000000006</v>
      </c>
      <c r="G41" s="54">
        <f t="shared" ca="1" si="0"/>
        <v>128.00000000000006</v>
      </c>
      <c r="H41" s="54">
        <f t="shared" ca="1" si="11"/>
        <v>-5.6843418860808015E-14</v>
      </c>
      <c r="I41" s="54">
        <f ca="1">IF(B41="",IF(B40="","",IF(D40="","",F40-D40)),IF(AND(C40="",D40=""),"",IF(AND(D40="",C40&lt;&gt;""),IF(I40&gt;F40,I40-C40,F40-C40),B$28-B41-SUM(D$28:D40))))</f>
        <v>-5.6843418860808015E-14</v>
      </c>
      <c r="K41">
        <f t="shared" ca="1" si="12"/>
        <v>128.00000000000006</v>
      </c>
      <c r="L41" s="54">
        <f t="shared" ca="1" si="3"/>
        <v>127.46666666666673</v>
      </c>
      <c r="M41" s="54">
        <f t="shared" ca="1" si="10"/>
        <v>127.46666666666673</v>
      </c>
      <c r="N41" s="54">
        <f t="shared" ca="1" si="4"/>
        <v>-5.6843418860808015E-14</v>
      </c>
      <c r="O41" s="65">
        <f t="shared" ca="1" si="5"/>
        <v>17.591666666666665</v>
      </c>
      <c r="P41" s="65">
        <f t="shared" ca="1" si="6"/>
        <v>16.685714285714287</v>
      </c>
      <c r="Q41" s="65">
        <f t="shared" ca="1" si="7"/>
        <v>13.366666666666667</v>
      </c>
    </row>
    <row r="42" spans="1:17">
      <c r="A42" s="56">
        <v>15</v>
      </c>
      <c r="B42" s="2" t="str">
        <f t="shared" ca="1" si="8"/>
        <v/>
      </c>
      <c r="C42" s="2"/>
      <c r="E42" s="56" t="str">
        <f ca="1">IF(B42="","",IF(D41="",E41,B42+SUM(D$28:D41)))</f>
        <v/>
      </c>
      <c r="F42" s="54" t="str">
        <f t="shared" ca="1" si="13"/>
        <v/>
      </c>
      <c r="G42" s="54" t="str">
        <f t="shared" ca="1" si="0"/>
        <v/>
      </c>
      <c r="H42" s="54" t="str">
        <f t="shared" ca="1" si="11"/>
        <v/>
      </c>
      <c r="I42" s="54" t="str">
        <f ca="1">IF(B42="",IF(B41="","",IF(D41="","",F41-D41)),IF(AND(C41="",D41=""),"",IF(AND(D41="",C41&lt;&gt;""),IF(I41&gt;F41,I41-C41,F41-C41),B$28-B42-SUM(D$28:D41))))</f>
        <v/>
      </c>
      <c r="K42" t="str">
        <f t="shared" ca="1" si="12"/>
        <v/>
      </c>
      <c r="L42" s="54">
        <f t="shared" ca="1" si="3"/>
        <v>111.96666666666673</v>
      </c>
      <c r="M42" s="54">
        <f t="shared" ca="1" si="10"/>
        <v>111.96666666666673</v>
      </c>
      <c r="N42" s="54">
        <f t="shared" ca="1" si="4"/>
        <v>-5.6843418860808015E-14</v>
      </c>
      <c r="O42" s="65">
        <f t="shared" ca="1" si="5"/>
        <v>17.591666666666665</v>
      </c>
      <c r="P42" s="65">
        <f t="shared" ca="1" si="6"/>
        <v>16.685714285714287</v>
      </c>
      <c r="Q42" s="65">
        <f t="shared" ca="1" si="7"/>
        <v>13.366666666666667</v>
      </c>
    </row>
    <row r="43" spans="1:17">
      <c r="A43" s="56">
        <v>16</v>
      </c>
      <c r="B43" s="2" t="str">
        <f t="shared" ca="1" si="8"/>
        <v/>
      </c>
      <c r="C43" s="2"/>
      <c r="E43" s="56" t="str">
        <f ca="1">IF(B43="","",IF(D42="",E42,B43+SUM(D$28:D42)))</f>
        <v/>
      </c>
      <c r="F43" s="54" t="str">
        <f t="shared" ca="1" si="13"/>
        <v/>
      </c>
      <c r="G43" s="54" t="str">
        <f t="shared" ca="1" si="0"/>
        <v/>
      </c>
      <c r="H43" s="54" t="str">
        <f t="shared" ca="1" si="11"/>
        <v/>
      </c>
      <c r="I43" s="54" t="str">
        <f ca="1">IF(B43="",IF(B42="","",IF(D42="","",F42-D42)),IF(AND(C42="",D42=""),"",IF(AND(D42="",C42&lt;&gt;""),IF(I42&gt;F42,I42-C42,F42-C42),B$28-B43-SUM(D$28:D42))))</f>
        <v/>
      </c>
      <c r="K43" t="str">
        <f t="shared" ca="1" si="12"/>
        <v/>
      </c>
      <c r="L43" s="54">
        <f t="shared" ca="1" si="3"/>
        <v>96.466666666666725</v>
      </c>
      <c r="M43" s="54">
        <f t="shared" ca="1" si="10"/>
        <v>96.466666666666725</v>
      </c>
      <c r="N43" s="54">
        <f t="shared" ca="1" si="4"/>
        <v>-5.6843418860808015E-14</v>
      </c>
      <c r="O43" s="65">
        <f t="shared" ca="1" si="5"/>
        <v>17.591666666666665</v>
      </c>
      <c r="P43" s="65">
        <f t="shared" ca="1" si="6"/>
        <v>16.685714285714287</v>
      </c>
      <c r="Q43" s="65">
        <f t="shared" ca="1" si="7"/>
        <v>13.366666666666667</v>
      </c>
    </row>
    <row r="44" spans="1:17">
      <c r="A44" s="56">
        <v>17</v>
      </c>
      <c r="B44" s="2" t="str">
        <f t="shared" ca="1" si="8"/>
        <v/>
      </c>
      <c r="C44" s="2"/>
      <c r="E44" s="56" t="str">
        <f ca="1">IF(B44="","",IF(D43="",E43,B44+SUM(D$28:D43)))</f>
        <v/>
      </c>
      <c r="F44" s="54" t="str">
        <f t="shared" ca="1" si="13"/>
        <v/>
      </c>
      <c r="G44" s="54" t="str">
        <f t="shared" ca="1" si="0"/>
        <v/>
      </c>
      <c r="H44" s="54" t="str">
        <f t="shared" ca="1" si="11"/>
        <v/>
      </c>
      <c r="I44" s="54" t="str">
        <f ca="1">IF(B44="",IF(B43="","",IF(D43="","",F43-D43)),IF(AND(C43="",D43=""),"",IF(AND(D43="",C43&lt;&gt;""),IF(I43&gt;F43,I43-C43,F43-C43),B$28-B44-SUM(D$28:D43))))</f>
        <v/>
      </c>
      <c r="K44" t="str">
        <f t="shared" ca="1" si="12"/>
        <v/>
      </c>
      <c r="L44" s="54">
        <f t="shared" ca="1" si="3"/>
        <v>80.966666666666754</v>
      </c>
      <c r="M44" s="54">
        <f t="shared" ca="1" si="10"/>
        <v>80.966666666666754</v>
      </c>
      <c r="N44" s="54">
        <f t="shared" ca="1" si="4"/>
        <v>-5.6843418860808015E-14</v>
      </c>
      <c r="O44" s="65">
        <f t="shared" ca="1" si="5"/>
        <v>17.591666666666665</v>
      </c>
      <c r="P44" s="65">
        <f t="shared" ca="1" si="6"/>
        <v>16.685714285714287</v>
      </c>
      <c r="Q44" s="65">
        <f t="shared" ca="1" si="7"/>
        <v>13.366666666666667</v>
      </c>
    </row>
    <row r="45" spans="1:17">
      <c r="A45" s="56">
        <v>18</v>
      </c>
      <c r="B45" s="2" t="str">
        <f t="shared" ca="1" si="8"/>
        <v/>
      </c>
      <c r="C45" s="2"/>
      <c r="E45" s="56" t="str">
        <f ca="1">IF(B45="","",IF(D44="",E44,B45+SUM(D$28:D44)))</f>
        <v/>
      </c>
      <c r="F45" s="54" t="str">
        <f t="shared" ca="1" si="13"/>
        <v/>
      </c>
      <c r="G45" s="54" t="str">
        <f t="shared" ca="1" si="0"/>
        <v/>
      </c>
      <c r="H45" s="54" t="str">
        <f t="shared" ca="1" si="11"/>
        <v/>
      </c>
      <c r="I45" s="54" t="str">
        <f ca="1">IF(B45="",IF(B44="","",IF(D44="","",F44-D44)),IF(AND(C44="",D44=""),"",IF(AND(D44="",C44&lt;&gt;""),IF(I44&gt;F44,I44-C44,F44-C44),B$28-B45-SUM(D$28:D44))))</f>
        <v/>
      </c>
      <c r="K45" t="str">
        <f t="shared" ca="1" si="12"/>
        <v/>
      </c>
      <c r="L45" s="54">
        <f t="shared" ca="1" si="3"/>
        <v>65.466666666666754</v>
      </c>
      <c r="M45" s="54">
        <f t="shared" ca="1" si="10"/>
        <v>65.466666666666754</v>
      </c>
      <c r="N45" s="54">
        <f t="shared" ca="1" si="4"/>
        <v>-5.6843418860808015E-14</v>
      </c>
      <c r="O45" s="65">
        <f t="shared" ca="1" si="5"/>
        <v>17.591666666666665</v>
      </c>
      <c r="P45" s="65">
        <f t="shared" ca="1" si="6"/>
        <v>16.685714285714287</v>
      </c>
      <c r="Q45" s="65">
        <f t="shared" ca="1" si="7"/>
        <v>13.366666666666667</v>
      </c>
    </row>
    <row r="46" spans="1:17">
      <c r="A46" s="56">
        <v>19</v>
      </c>
      <c r="B46" s="2" t="str">
        <f t="shared" ca="1" si="8"/>
        <v/>
      </c>
      <c r="C46" s="2"/>
      <c r="E46" s="56" t="str">
        <f ca="1">IF(B46="","",IF(D45="",E45,B46+SUM(D$28:D45)))</f>
        <v/>
      </c>
      <c r="F46" s="54" t="str">
        <f t="shared" ca="1" si="13"/>
        <v/>
      </c>
      <c r="G46" s="54" t="str">
        <f t="shared" ca="1" si="0"/>
        <v/>
      </c>
      <c r="H46" s="54" t="str">
        <f t="shared" ca="1" si="11"/>
        <v/>
      </c>
      <c r="I46" s="54" t="str">
        <f ca="1">IF(B46="",IF(B45="","",IF(D45="","",F45-D45)),IF(AND(C45="",D45=""),"",IF(AND(D45="",C45&lt;&gt;""),IF(I45&gt;F45,I45-C45,F45-C45),B$28-B46-SUM(D$28:D45))))</f>
        <v/>
      </c>
      <c r="K46" t="str">
        <f t="shared" ca="1" si="12"/>
        <v/>
      </c>
      <c r="L46" s="54">
        <f t="shared" ca="1" si="3"/>
        <v>49.966666666666754</v>
      </c>
      <c r="M46" s="54">
        <f t="shared" ca="1" si="10"/>
        <v>49.966666666666754</v>
      </c>
      <c r="N46" s="54">
        <f t="shared" ca="1" si="4"/>
        <v>-5.6843418860808015E-14</v>
      </c>
      <c r="O46" s="65">
        <f t="shared" ca="1" si="5"/>
        <v>17.591666666666665</v>
      </c>
      <c r="P46" s="65">
        <f t="shared" ca="1" si="6"/>
        <v>16.685714285714287</v>
      </c>
      <c r="Q46" s="65">
        <f t="shared" ca="1" si="7"/>
        <v>13.366666666666667</v>
      </c>
    </row>
    <row r="47" spans="1:17">
      <c r="A47" s="56">
        <v>20</v>
      </c>
      <c r="B47" s="2" t="str">
        <f t="shared" ca="1" si="8"/>
        <v/>
      </c>
      <c r="C47" s="2"/>
      <c r="E47" s="56" t="str">
        <f ca="1">IF(B47="","",IF(D46="",E46,B47+SUM(D$28:D46)))</f>
        <v/>
      </c>
      <c r="F47" s="54" t="str">
        <f t="shared" ca="1" si="13"/>
        <v/>
      </c>
      <c r="G47" s="54" t="str">
        <f t="shared" ca="1" si="0"/>
        <v/>
      </c>
      <c r="H47" s="54" t="str">
        <f t="shared" ca="1" si="11"/>
        <v/>
      </c>
      <c r="I47" s="54" t="str">
        <f ca="1">IF(B47="",IF(B46="","",IF(D46="","",F46-D46)),IF(AND(C46="",D46=""),"",IF(AND(D46="",C46&lt;&gt;""),IF(I46&gt;F46,I46-C46,F46-C46),B$28-B47-SUM(D$28:D46))))</f>
        <v/>
      </c>
      <c r="K47" t="str">
        <f t="shared" ca="1" si="12"/>
        <v/>
      </c>
      <c r="L47" s="54">
        <f t="shared" ca="1" si="3"/>
        <v>34.466666666666754</v>
      </c>
      <c r="M47" s="54">
        <f t="shared" ca="1" si="10"/>
        <v>34.466666666666754</v>
      </c>
      <c r="N47" s="54">
        <f t="shared" ca="1" si="4"/>
        <v>-5.6843418860808015E-14</v>
      </c>
      <c r="O47" s="65">
        <f t="shared" ca="1" si="5"/>
        <v>17.591666666666665</v>
      </c>
      <c r="P47" s="65">
        <f t="shared" ca="1" si="6"/>
        <v>16.685714285714287</v>
      </c>
      <c r="Q47" s="65">
        <f t="shared" ca="1" si="7"/>
        <v>13.366666666666667</v>
      </c>
    </row>
    <row r="48" spans="1:17">
      <c r="A48" s="56">
        <v>21</v>
      </c>
      <c r="B48" s="2" t="str">
        <f t="shared" ca="1" si="8"/>
        <v/>
      </c>
      <c r="C48" s="2"/>
      <c r="E48" s="56" t="str">
        <f ca="1">IF(B48="","",IF(D47="",E47,B48+SUM(D$28:D47)))</f>
        <v/>
      </c>
      <c r="F48" s="54" t="str">
        <f t="shared" ca="1" si="13"/>
        <v/>
      </c>
      <c r="G48" s="54" t="str">
        <f t="shared" ca="1" si="0"/>
        <v/>
      </c>
      <c r="H48" s="54" t="str">
        <f t="shared" ca="1" si="11"/>
        <v/>
      </c>
      <c r="I48" s="54" t="str">
        <f ca="1">IF(B48="",IF(B47="","",IF(D47="","",F47-D47)),IF(AND(C47="",D47=""),"",IF(AND(D47="",C47&lt;&gt;""),IF(I47&gt;F47,I47-C47,F47-C47),B$28-B48-SUM(D$28:D47))))</f>
        <v/>
      </c>
      <c r="K48" t="str">
        <f t="shared" ca="1" si="12"/>
        <v/>
      </c>
      <c r="L48" s="54">
        <f t="shared" ca="1" si="3"/>
        <v>18.966666666666754</v>
      </c>
      <c r="M48" s="54">
        <f t="shared" ca="1" si="10"/>
        <v>18.966666666666754</v>
      </c>
      <c r="N48" s="54">
        <f t="shared" ca="1" si="4"/>
        <v>-5.6843418860808015E-14</v>
      </c>
      <c r="O48" s="65">
        <f t="shared" ca="1" si="5"/>
        <v>17.591666666666665</v>
      </c>
      <c r="P48" s="65">
        <f t="shared" ca="1" si="6"/>
        <v>16.685714285714287</v>
      </c>
      <c r="Q48" s="65">
        <f t="shared" ca="1" si="7"/>
        <v>13.366666666666667</v>
      </c>
    </row>
    <row r="49" spans="1:17">
      <c r="A49" s="56">
        <v>22</v>
      </c>
      <c r="B49" s="2" t="str">
        <f t="shared" ca="1" si="8"/>
        <v/>
      </c>
      <c r="C49" s="2"/>
      <c r="E49" s="56" t="str">
        <f ca="1">IF(B49="","",IF(D48="",E48,B49+SUM(D$28:D48)))</f>
        <v/>
      </c>
      <c r="F49" s="54" t="str">
        <f t="shared" ca="1" si="13"/>
        <v/>
      </c>
      <c r="G49" s="54" t="str">
        <f t="shared" ca="1" si="0"/>
        <v/>
      </c>
      <c r="H49" s="54" t="str">
        <f t="shared" ca="1" si="11"/>
        <v/>
      </c>
      <c r="I49" s="54" t="str">
        <f ca="1">IF(B49="",IF(B48="","",IF(D48="","",F48-D48)),IF(AND(C48="",D48=""),"",IF(AND(D48="",C48&lt;&gt;""),IF(I48&gt;F48,I48-C48,F48-C48),B$28-B49-SUM(D$28:D48))))</f>
        <v/>
      </c>
      <c r="K49" t="str">
        <f t="shared" ca="1" si="12"/>
        <v/>
      </c>
      <c r="L49" s="54">
        <f t="shared" ca="1" si="3"/>
        <v>3.4666666666667538</v>
      </c>
      <c r="M49" s="54">
        <f t="shared" ca="1" si="10"/>
        <v>3.4666666666667538</v>
      </c>
      <c r="N49" s="54">
        <f t="shared" ca="1" si="4"/>
        <v>-5.6843418860808015E-14</v>
      </c>
      <c r="O49" s="65">
        <f t="shared" ca="1" si="5"/>
        <v>17.591666666666665</v>
      </c>
      <c r="P49" s="65">
        <f t="shared" ca="1" si="6"/>
        <v>16.685714285714287</v>
      </c>
      <c r="Q49" s="65">
        <f t="shared" ca="1" si="7"/>
        <v>13.366666666666667</v>
      </c>
    </row>
    <row r="50" spans="1:17">
      <c r="A50" s="56">
        <v>23</v>
      </c>
      <c r="B50" s="2" t="str">
        <f t="shared" ca="1" si="8"/>
        <v/>
      </c>
      <c r="C50" s="2"/>
      <c r="E50" s="56" t="str">
        <f ca="1">IF(B50="","",IF(D49="",E49,B50+SUM(D$28:D49)))</f>
        <v/>
      </c>
      <c r="F50" s="54" t="str">
        <f t="shared" ca="1" si="13"/>
        <v/>
      </c>
      <c r="G50" s="54" t="str">
        <f t="shared" ca="1" si="0"/>
        <v/>
      </c>
      <c r="H50" s="54" t="str">
        <f t="shared" ca="1" si="11"/>
        <v/>
      </c>
      <c r="I50" s="54" t="str">
        <f ca="1">IF(B50="",IF(B49="","",IF(D49="","",F49-D49)),IF(AND(C49="",D49=""),"",IF(AND(D49="",C49&lt;&gt;""),IF(I49&gt;F49,I49-C49,F49-C49),B$28-B50-SUM(D$28:D49))))</f>
        <v/>
      </c>
      <c r="K50" t="str">
        <f t="shared" ca="1" si="12"/>
        <v/>
      </c>
      <c r="L50" s="54">
        <f t="shared" ca="1" si="3"/>
        <v>-5.6843418860808015E-14</v>
      </c>
      <c r="M50" s="54">
        <f t="shared" ca="1" si="10"/>
        <v>-5.6843418860808015E-14</v>
      </c>
      <c r="N50" s="54">
        <f t="shared" ca="1" si="4"/>
        <v>-5.6843418860808015E-14</v>
      </c>
      <c r="O50" s="65">
        <f t="shared" ca="1" si="5"/>
        <v>17.591666666666665</v>
      </c>
      <c r="P50" s="65">
        <f t="shared" ca="1" si="6"/>
        <v>16.685714285714287</v>
      </c>
      <c r="Q50" s="65">
        <f t="shared" ca="1" si="7"/>
        <v>13.366666666666667</v>
      </c>
    </row>
    <row r="51" spans="1:17">
      <c r="A51" s="56">
        <v>24</v>
      </c>
      <c r="B51" s="2" t="str">
        <f t="shared" ca="1" si="8"/>
        <v/>
      </c>
      <c r="C51" s="2"/>
      <c r="E51" s="56" t="str">
        <f ca="1">IF(B51="","",IF(D50="",E50,B51+SUM(D$28:D50)))</f>
        <v/>
      </c>
      <c r="F51" s="54" t="str">
        <f t="shared" ca="1" si="13"/>
        <v/>
      </c>
      <c r="G51" s="54" t="str">
        <f t="shared" ca="1" si="0"/>
        <v/>
      </c>
      <c r="H51" s="54" t="str">
        <f t="shared" ca="1" si="11"/>
        <v/>
      </c>
      <c r="I51" s="54" t="str">
        <f ca="1">IF(B51="",IF(B50="","",IF(D50="","",F50-D50)),IF(AND(C50="",D50=""),"",IF(AND(D50="",C50&lt;&gt;""),IF(I50&gt;F50,I50-C50,F50-C50),B$28-B51-SUM(D$28:D50))))</f>
        <v/>
      </c>
      <c r="K51" t="str">
        <f t="shared" ca="1" si="12"/>
        <v/>
      </c>
      <c r="L51" s="54">
        <f t="shared" ca="1" si="3"/>
        <v>-5.6843418860808015E-14</v>
      </c>
      <c r="M51" s="54" t="str">
        <f t="shared" ca="1" si="10"/>
        <v/>
      </c>
      <c r="N51" s="54">
        <f t="shared" ca="1" si="4"/>
        <v>-5.6843418860808015E-14</v>
      </c>
      <c r="O51" s="65">
        <f t="shared" ca="1" si="5"/>
        <v>17.591666666666665</v>
      </c>
      <c r="P51" s="65">
        <f t="shared" ca="1" si="6"/>
        <v>16.685714285714287</v>
      </c>
      <c r="Q51" s="65">
        <f t="shared" ca="1" si="7"/>
        <v>13.366666666666667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50" priority="1" stopIfTrue="1">
      <formula>$D26="Done"</formula>
    </cfRule>
    <cfRule type="expression" dxfId="249" priority="2" stopIfTrue="1">
      <formula>$D26="Ongoing"</formula>
    </cfRule>
    <cfRule type="expression" dxfId="248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D87"/>
  <sheetViews>
    <sheetView workbookViewId="0">
      <pane ySplit="14" topLeftCell="A15" activePane="bottomLeft" state="frozen"/>
      <selection pane="bottomLeft" activeCell="B23" sqref="B23"/>
    </sheetView>
  </sheetViews>
  <sheetFormatPr defaultRowHeight="12.75"/>
  <cols>
    <col min="1" max="1" width="43.42578125" style="34" customWidth="1"/>
    <col min="2" max="2" width="8.5703125" style="33" customWidth="1"/>
    <col min="3" max="3" width="13.7109375" style="34" customWidth="1"/>
    <col min="4" max="4" width="10.85546875" style="34" customWidth="1"/>
    <col min="5" max="5" width="6.5703125" style="33" customWidth="1"/>
    <col min="6" max="30" width="4.42578125" style="33" customWidth="1"/>
    <col min="31" max="16384" width="9.140625" style="34"/>
  </cols>
  <sheetData>
    <row r="1" spans="1:30" ht="18">
      <c r="A1" s="66">
        <v>1</v>
      </c>
      <c r="B1" s="67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</row>
    <row r="2" spans="1:30"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</row>
    <row r="9" spans="1:30">
      <c r="A9" s="68" t="s">
        <v>12</v>
      </c>
      <c r="B9" s="69">
        <v>9</v>
      </c>
      <c r="C9" s="68"/>
      <c r="D9" s="70"/>
      <c r="E9" s="68" t="s">
        <v>9</v>
      </c>
      <c r="F9" s="68" t="s">
        <v>11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>
      <c r="A10" s="68" t="s">
        <v>29</v>
      </c>
      <c r="B10" s="69">
        <v>5</v>
      </c>
      <c r="C10" s="68" t="s">
        <v>30</v>
      </c>
      <c r="D10" s="68" t="s">
        <v>17</v>
      </c>
      <c r="E10" s="71">
        <f ca="1">SUM(OFFSET(E14,1,0,TaskRows,1))</f>
        <v>23</v>
      </c>
      <c r="F10" s="71">
        <f ca="1">IF(AND(SUM(OFFSET(F14,1,0,TaskRows,1))=0),0,SUM(OFFSET(F14,1,0,TaskRows,1)))</f>
        <v>19</v>
      </c>
      <c r="G10" s="71">
        <f t="shared" ref="G10:AD10" ca="1" si="0">IF(AND(SUM(OFFSET(G14,1,0,TaskRows,1))=0),"",SUM(OFFSET(G14,1,0,TaskRows,1)))</f>
        <v>17</v>
      </c>
      <c r="H10" s="71">
        <f t="shared" ca="1" si="0"/>
        <v>15</v>
      </c>
      <c r="I10" s="71">
        <f t="shared" ca="1" si="0"/>
        <v>13</v>
      </c>
      <c r="J10" s="71">
        <f t="shared" ca="1" si="0"/>
        <v>11</v>
      </c>
      <c r="K10" s="71">
        <f t="shared" ca="1" si="0"/>
        <v>9</v>
      </c>
      <c r="L10" s="71">
        <f t="shared" ca="1" si="0"/>
        <v>6</v>
      </c>
      <c r="M10" s="71">
        <f t="shared" ca="1" si="0"/>
        <v>5</v>
      </c>
      <c r="N10" s="71">
        <f t="shared" ca="1" si="0"/>
        <v>1</v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>
      <c r="A11" t="s">
        <v>22</v>
      </c>
      <c r="B11" s="2">
        <f>IF(COUNTA(A15:A242)=0,1,COUNTA(A15:A242))</f>
        <v>9</v>
      </c>
      <c r="C11" t="s">
        <v>23</v>
      </c>
      <c r="D11" s="2">
        <f ca="1">IF(COUNTIF(F10:AD10,"&gt;0")=0,1,COUNTIF(F10:AD10,"&gt;0"))</f>
        <v>9</v>
      </c>
      <c r="E11" s="2"/>
      <c r="F11" s="2">
        <f ca="1">IF(F14="","",$E10-$E10/($B9-1)*(F14-1))</f>
        <v>23</v>
      </c>
      <c r="G11" s="2">
        <f t="shared" ref="G11:AD11" ca="1" si="1">IF(G14="","",TotalEffort-TotalEffort/(ImplementationDays)*(G14-1))</f>
        <v>20.444444444444443</v>
      </c>
      <c r="H11" s="2">
        <f t="shared" ca="1" si="1"/>
        <v>17.888888888888889</v>
      </c>
      <c r="I11" s="2">
        <f t="shared" ca="1" si="1"/>
        <v>15.333333333333334</v>
      </c>
      <c r="J11" s="2">
        <f t="shared" ca="1" si="1"/>
        <v>12.777777777777779</v>
      </c>
      <c r="K11" s="2">
        <f t="shared" ca="1" si="1"/>
        <v>10.222222222222223</v>
      </c>
      <c r="L11" s="2">
        <f t="shared" ca="1" si="1"/>
        <v>7.6666666666666679</v>
      </c>
      <c r="M11" s="2">
        <f t="shared" ca="1" si="1"/>
        <v>5.1111111111111143</v>
      </c>
      <c r="N11" s="2">
        <f t="shared" ca="1" si="1"/>
        <v>2.5555555555555571</v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>
      <c r="A12" s="55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20.800000000000004</v>
      </c>
      <c r="G12" s="2">
        <f t="shared" ca="1" si="2"/>
        <v>18.400000000000002</v>
      </c>
      <c r="H12" s="2">
        <f t="shared" ca="1" si="2"/>
        <v>16</v>
      </c>
      <c r="I12" s="2">
        <f t="shared" ca="1" si="2"/>
        <v>13.600000000000001</v>
      </c>
      <c r="J12" s="2">
        <f t="shared" ca="1" si="2"/>
        <v>11.200000000000001</v>
      </c>
      <c r="K12" s="2">
        <f t="shared" ca="1" si="2"/>
        <v>8.8000000000000007</v>
      </c>
      <c r="L12" s="2">
        <f t="shared" ca="1" si="2"/>
        <v>6.3999999999999986</v>
      </c>
      <c r="M12" s="2">
        <f t="shared" ca="1" si="2"/>
        <v>4</v>
      </c>
      <c r="N12" s="2">
        <f t="shared" ca="1" si="2"/>
        <v>1.6000000000000014</v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55" t="s">
        <v>27</v>
      </c>
      <c r="C13" t="s">
        <v>25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8" t="s">
        <v>7</v>
      </c>
      <c r="B14" s="72" t="s">
        <v>21</v>
      </c>
      <c r="C14" s="68" t="s">
        <v>8</v>
      </c>
      <c r="D14" s="68" t="s">
        <v>3</v>
      </c>
      <c r="E14" s="72" t="s">
        <v>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>
        <f t="shared" si="3"/>
        <v>6</v>
      </c>
      <c r="L14" s="72">
        <f t="shared" si="3"/>
        <v>7</v>
      </c>
      <c r="M14" s="72">
        <f t="shared" si="3"/>
        <v>8</v>
      </c>
      <c r="N14" s="72">
        <f t="shared" si="3"/>
        <v>9</v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>
      <c r="A15" s="103" t="s">
        <v>99</v>
      </c>
      <c r="B15" s="2">
        <v>1</v>
      </c>
      <c r="C15" s="103" t="s">
        <v>98</v>
      </c>
      <c r="D15" t="s">
        <v>75</v>
      </c>
      <c r="E15" s="2">
        <v>1</v>
      </c>
      <c r="F15" s="2">
        <f>IF(OR(F$14="",$E15=""),"",E15)</f>
        <v>1</v>
      </c>
      <c r="G15" s="104" t="s">
        <v>74</v>
      </c>
      <c r="H15" s="104" t="s">
        <v>74</v>
      </c>
      <c r="I15" s="2"/>
    </row>
    <row r="16" spans="1:30">
      <c r="A16" s="103" t="s">
        <v>100</v>
      </c>
      <c r="B16" s="2">
        <v>5</v>
      </c>
      <c r="C16" s="103" t="s">
        <v>98</v>
      </c>
      <c r="D16" t="s">
        <v>75</v>
      </c>
      <c r="E16" s="2">
        <v>1</v>
      </c>
      <c r="F16" s="2">
        <v>0</v>
      </c>
      <c r="G16" s="104" t="s">
        <v>74</v>
      </c>
      <c r="H16" s="104" t="s">
        <v>74</v>
      </c>
      <c r="I16" s="104" t="s">
        <v>74</v>
      </c>
    </row>
    <row r="17" spans="1:30">
      <c r="A17" s="103" t="s">
        <v>101</v>
      </c>
      <c r="B17" s="2">
        <v>7</v>
      </c>
      <c r="C17" s="103" t="s">
        <v>98</v>
      </c>
      <c r="D17" t="s">
        <v>75</v>
      </c>
      <c r="E17" s="2">
        <v>1</v>
      </c>
      <c r="F17" s="2">
        <v>0</v>
      </c>
      <c r="G17" s="104" t="s">
        <v>74</v>
      </c>
      <c r="H17" s="104" t="s">
        <v>74</v>
      </c>
      <c r="I17" s="104" t="s">
        <v>74</v>
      </c>
      <c r="AC17" s="33" t="str">
        <f t="shared" ref="AC17:AD34" si="4">IF(OR(AC$14="",$E17=""),"",AB17)</f>
        <v/>
      </c>
      <c r="AD17" s="33" t="str">
        <f t="shared" si="4"/>
        <v/>
      </c>
    </row>
    <row r="18" spans="1:30">
      <c r="A18" s="103" t="s">
        <v>102</v>
      </c>
      <c r="B18" s="2">
        <v>5</v>
      </c>
      <c r="C18" s="103" t="s">
        <v>98</v>
      </c>
      <c r="D18" t="s">
        <v>75</v>
      </c>
      <c r="E18" s="2">
        <v>3</v>
      </c>
      <c r="F18" s="2">
        <v>2</v>
      </c>
      <c r="G18" s="2">
        <v>2</v>
      </c>
      <c r="H18" s="2">
        <v>2</v>
      </c>
      <c r="I18" s="2">
        <v>2</v>
      </c>
      <c r="J18" s="33">
        <v>2</v>
      </c>
      <c r="K18" s="33">
        <v>2</v>
      </c>
      <c r="L18" s="33">
        <v>2</v>
      </c>
      <c r="M18" s="33">
        <v>2</v>
      </c>
      <c r="N18" s="33">
        <v>0</v>
      </c>
    </row>
    <row r="19" spans="1:30">
      <c r="A19" s="101" t="s">
        <v>103</v>
      </c>
      <c r="B19" s="33">
        <v>5</v>
      </c>
      <c r="C19" s="103" t="s">
        <v>104</v>
      </c>
      <c r="D19" s="34" t="s">
        <v>75</v>
      </c>
      <c r="E19" s="33">
        <v>1</v>
      </c>
      <c r="F19" s="33">
        <v>1</v>
      </c>
      <c r="G19" s="33">
        <v>1</v>
      </c>
      <c r="H19" s="33">
        <v>1</v>
      </c>
      <c r="I19" s="33">
        <v>1</v>
      </c>
      <c r="J19" s="33">
        <v>1</v>
      </c>
      <c r="K19" s="33">
        <v>1</v>
      </c>
      <c r="L19" s="33">
        <v>1</v>
      </c>
      <c r="M19" s="33">
        <v>1</v>
      </c>
      <c r="N19" s="33">
        <v>0</v>
      </c>
      <c r="AC19" s="33" t="str">
        <f t="shared" si="4"/>
        <v/>
      </c>
      <c r="AD19" s="33" t="str">
        <f t="shared" si="4"/>
        <v/>
      </c>
    </row>
    <row r="20" spans="1:30">
      <c r="A20" s="101" t="s">
        <v>105</v>
      </c>
      <c r="B20" s="33">
        <v>1</v>
      </c>
      <c r="C20" s="103" t="s">
        <v>98</v>
      </c>
      <c r="D20" s="34" t="s">
        <v>75</v>
      </c>
      <c r="E20" s="33">
        <v>2</v>
      </c>
      <c r="F20" s="33">
        <v>1</v>
      </c>
      <c r="G20" s="33">
        <v>1</v>
      </c>
      <c r="H20" s="33">
        <v>1</v>
      </c>
      <c r="I20" s="33">
        <v>1</v>
      </c>
      <c r="J20" s="33">
        <v>1</v>
      </c>
      <c r="K20" s="33">
        <v>1</v>
      </c>
      <c r="L20" s="33">
        <v>1</v>
      </c>
      <c r="M20" s="33">
        <v>1</v>
      </c>
      <c r="N20" s="33">
        <v>0</v>
      </c>
      <c r="AC20" s="33" t="str">
        <f t="shared" si="4"/>
        <v/>
      </c>
      <c r="AD20" s="33" t="str">
        <f t="shared" si="4"/>
        <v/>
      </c>
    </row>
    <row r="21" spans="1:30">
      <c r="A21" s="101" t="s">
        <v>113</v>
      </c>
      <c r="B21" s="33">
        <v>6</v>
      </c>
      <c r="C21" s="103" t="s">
        <v>114</v>
      </c>
      <c r="D21" s="34" t="s">
        <v>75</v>
      </c>
      <c r="E21" s="33">
        <v>5</v>
      </c>
      <c r="F21" s="33">
        <v>5</v>
      </c>
      <c r="G21" s="33">
        <v>4</v>
      </c>
      <c r="H21" s="33">
        <v>2</v>
      </c>
      <c r="AC21" s="33" t="str">
        <f t="shared" si="4"/>
        <v/>
      </c>
      <c r="AD21" s="33" t="str">
        <f t="shared" si="4"/>
        <v/>
      </c>
    </row>
    <row r="22" spans="1:30">
      <c r="A22" s="101" t="s">
        <v>115</v>
      </c>
      <c r="B22" s="33">
        <v>6</v>
      </c>
      <c r="C22" s="103" t="s">
        <v>114</v>
      </c>
      <c r="D22" s="34" t="s">
        <v>75</v>
      </c>
      <c r="E22" s="33">
        <v>5</v>
      </c>
      <c r="F22" s="33">
        <v>5</v>
      </c>
      <c r="G22" s="33">
        <v>5</v>
      </c>
      <c r="H22" s="33">
        <v>5</v>
      </c>
      <c r="I22" s="33">
        <v>5</v>
      </c>
      <c r="J22" s="33">
        <v>3</v>
      </c>
      <c r="K22" s="33">
        <v>2</v>
      </c>
      <c r="AC22" s="33" t="str">
        <f t="shared" si="4"/>
        <v/>
      </c>
      <c r="AD22" s="33" t="str">
        <f t="shared" si="4"/>
        <v/>
      </c>
    </row>
    <row r="23" spans="1:30" ht="15" customHeight="1">
      <c r="A23" s="101" t="s">
        <v>116</v>
      </c>
      <c r="B23" s="33">
        <v>6</v>
      </c>
      <c r="C23" s="103" t="s">
        <v>114</v>
      </c>
      <c r="D23" s="34" t="s">
        <v>76</v>
      </c>
      <c r="E23" s="33">
        <v>4</v>
      </c>
      <c r="F23" s="33">
        <v>4</v>
      </c>
      <c r="G23" s="33">
        <v>4</v>
      </c>
      <c r="H23" s="33">
        <v>4</v>
      </c>
      <c r="I23" s="33">
        <v>4</v>
      </c>
      <c r="J23" s="33">
        <v>4</v>
      </c>
      <c r="K23" s="33">
        <v>3</v>
      </c>
      <c r="L23" s="33">
        <v>2</v>
      </c>
      <c r="M23" s="33">
        <v>1</v>
      </c>
      <c r="N23" s="33">
        <v>1</v>
      </c>
      <c r="AC23" s="33" t="str">
        <f t="shared" si="4"/>
        <v/>
      </c>
      <c r="AD23" s="33" t="str">
        <f t="shared" si="4"/>
        <v/>
      </c>
    </row>
    <row r="24" spans="1:30">
      <c r="A24" s="31"/>
      <c r="C24" s="103" t="s">
        <v>74</v>
      </c>
      <c r="AC24" s="33" t="str">
        <f t="shared" si="4"/>
        <v/>
      </c>
      <c r="AD24" s="33" t="str">
        <f t="shared" si="4"/>
        <v/>
      </c>
    </row>
    <row r="25" spans="1:30">
      <c r="A25" s="31"/>
      <c r="C25"/>
    </row>
    <row r="26" spans="1:30">
      <c r="A26" s="31"/>
      <c r="C26"/>
      <c r="AC26" s="33" t="str">
        <f t="shared" si="4"/>
        <v/>
      </c>
      <c r="AD26" s="33" t="str">
        <f t="shared" si="4"/>
        <v/>
      </c>
    </row>
    <row r="27" spans="1:30">
      <c r="A27" s="31"/>
      <c r="C27"/>
      <c r="AC27" s="33" t="str">
        <f t="shared" si="4"/>
        <v/>
      </c>
      <c r="AD27" s="33" t="str">
        <f t="shared" si="4"/>
        <v/>
      </c>
    </row>
    <row r="28" spans="1:30">
      <c r="A28" s="31"/>
      <c r="C28"/>
      <c r="AC28" s="33" t="str">
        <f t="shared" si="4"/>
        <v/>
      </c>
      <c r="AD28" s="33" t="str">
        <f t="shared" si="4"/>
        <v/>
      </c>
    </row>
    <row r="29" spans="1:30">
      <c r="A29" s="31"/>
      <c r="C29"/>
      <c r="AC29" s="33" t="str">
        <f t="shared" si="4"/>
        <v/>
      </c>
      <c r="AD29" s="33" t="str">
        <f t="shared" si="4"/>
        <v/>
      </c>
    </row>
    <row r="30" spans="1:30">
      <c r="A30" s="31"/>
      <c r="C30"/>
      <c r="AC30" s="33" t="str">
        <f t="shared" si="4"/>
        <v/>
      </c>
      <c r="AD30" s="33" t="str">
        <f t="shared" si="4"/>
        <v/>
      </c>
    </row>
    <row r="31" spans="1:30">
      <c r="A31" s="31"/>
      <c r="C31"/>
      <c r="AC31" s="33" t="str">
        <f t="shared" si="4"/>
        <v/>
      </c>
      <c r="AD31" s="33" t="str">
        <f t="shared" si="4"/>
        <v/>
      </c>
    </row>
    <row r="32" spans="1:30">
      <c r="A32" s="31"/>
      <c r="C32"/>
      <c r="AC32" s="33" t="str">
        <f t="shared" si="4"/>
        <v/>
      </c>
      <c r="AD32" s="33" t="str">
        <f t="shared" si="4"/>
        <v/>
      </c>
    </row>
    <row r="33" spans="1:30">
      <c r="A33" s="31"/>
      <c r="C33"/>
      <c r="AC33" s="33" t="str">
        <f t="shared" si="4"/>
        <v/>
      </c>
      <c r="AD33" s="33" t="str">
        <f t="shared" si="4"/>
        <v/>
      </c>
    </row>
    <row r="34" spans="1:30">
      <c r="A34" s="31"/>
      <c r="C34"/>
      <c r="AC34" s="33" t="str">
        <f t="shared" si="4"/>
        <v/>
      </c>
      <c r="AD34" s="33" t="str">
        <f t="shared" si="4"/>
        <v/>
      </c>
    </row>
    <row r="35" spans="1:30">
      <c r="A35" s="31"/>
      <c r="C35"/>
    </row>
    <row r="36" spans="1:30">
      <c r="A36" s="31"/>
      <c r="C36"/>
      <c r="AC36" s="33" t="str">
        <f t="shared" ref="AC36:AD40" si="5">IF(OR(AC$14="",$E36=""),"",AB36)</f>
        <v/>
      </c>
      <c r="AD36" s="33" t="str">
        <f t="shared" si="5"/>
        <v/>
      </c>
    </row>
    <row r="37" spans="1:30">
      <c r="A37" s="31"/>
      <c r="C37"/>
      <c r="AC37" s="33" t="str">
        <f t="shared" si="5"/>
        <v/>
      </c>
      <c r="AD37" s="33" t="str">
        <f t="shared" si="5"/>
        <v/>
      </c>
    </row>
    <row r="38" spans="1:30">
      <c r="A38" s="31"/>
      <c r="C38"/>
      <c r="AC38" s="33" t="str">
        <f t="shared" si="5"/>
        <v/>
      </c>
      <c r="AD38" s="33" t="str">
        <f t="shared" si="5"/>
        <v/>
      </c>
    </row>
    <row r="39" spans="1:30">
      <c r="A39" s="31"/>
      <c r="C39"/>
      <c r="AC39" s="33" t="str">
        <f t="shared" si="5"/>
        <v/>
      </c>
      <c r="AD39" s="33" t="str">
        <f t="shared" si="5"/>
        <v/>
      </c>
    </row>
    <row r="40" spans="1:30">
      <c r="A40" s="31"/>
      <c r="C40"/>
      <c r="AC40" s="33" t="str">
        <f t="shared" si="5"/>
        <v/>
      </c>
      <c r="AD40" s="33" t="str">
        <f t="shared" si="5"/>
        <v/>
      </c>
    </row>
    <row r="41" spans="1:30">
      <c r="A41" s="31"/>
      <c r="C41"/>
      <c r="D41" s="34" t="str">
        <f t="shared" ref="D41:D64" si="6">IF(A41&lt;&gt;"","Planned","")</f>
        <v/>
      </c>
      <c r="F41" s="33" t="str">
        <f t="shared" ref="F41:F63" si="7">IF(OR(F$14="",$E41=""),"",E41)</f>
        <v/>
      </c>
      <c r="AC41" s="33" t="str">
        <f t="shared" ref="AC41:AD59" si="8">IF(OR(AC$14="",$E41=""),"",AB41)</f>
        <v/>
      </c>
      <c r="AD41" s="33" t="str">
        <f t="shared" si="8"/>
        <v/>
      </c>
    </row>
    <row r="42" spans="1:30">
      <c r="C42"/>
      <c r="D42" s="34" t="str">
        <f t="shared" si="6"/>
        <v/>
      </c>
      <c r="F42" s="33" t="str">
        <f t="shared" si="7"/>
        <v/>
      </c>
      <c r="AC42" s="33" t="str">
        <f t="shared" si="8"/>
        <v/>
      </c>
      <c r="AD42" s="33" t="str">
        <f t="shared" si="8"/>
        <v/>
      </c>
    </row>
    <row r="43" spans="1:30">
      <c r="C43"/>
      <c r="D43" s="34" t="str">
        <f t="shared" si="6"/>
        <v/>
      </c>
      <c r="F43" s="33" t="str">
        <f t="shared" si="7"/>
        <v/>
      </c>
      <c r="AC43" s="33" t="str">
        <f t="shared" si="8"/>
        <v/>
      </c>
      <c r="AD43" s="33" t="str">
        <f t="shared" si="8"/>
        <v/>
      </c>
    </row>
    <row r="44" spans="1:30">
      <c r="C44"/>
      <c r="D44" s="34" t="str">
        <f t="shared" si="6"/>
        <v/>
      </c>
      <c r="F44" s="33" t="str">
        <f t="shared" si="7"/>
        <v/>
      </c>
      <c r="AC44" s="33" t="str">
        <f t="shared" si="8"/>
        <v/>
      </c>
      <c r="AD44" s="33" t="str">
        <f t="shared" si="8"/>
        <v/>
      </c>
    </row>
    <row r="45" spans="1:30">
      <c r="C45"/>
      <c r="D45" s="34" t="str">
        <f t="shared" si="6"/>
        <v/>
      </c>
      <c r="F45" s="33" t="str">
        <f t="shared" si="7"/>
        <v/>
      </c>
      <c r="AC45" s="33" t="str">
        <f t="shared" si="8"/>
        <v/>
      </c>
      <c r="AD45" s="33" t="str">
        <f t="shared" si="8"/>
        <v/>
      </c>
    </row>
    <row r="46" spans="1:30">
      <c r="C46"/>
      <c r="D46" s="34" t="str">
        <f t="shared" si="6"/>
        <v/>
      </c>
      <c r="F46" s="33" t="str">
        <f t="shared" si="7"/>
        <v/>
      </c>
      <c r="AC46" s="33" t="str">
        <f t="shared" si="8"/>
        <v/>
      </c>
      <c r="AD46" s="33" t="str">
        <f t="shared" si="8"/>
        <v/>
      </c>
    </row>
    <row r="47" spans="1:30">
      <c r="C47"/>
      <c r="D47" s="34" t="str">
        <f t="shared" si="6"/>
        <v/>
      </c>
      <c r="F47" s="33" t="str">
        <f t="shared" si="7"/>
        <v/>
      </c>
      <c r="AC47" s="33" t="str">
        <f t="shared" si="8"/>
        <v/>
      </c>
      <c r="AD47" s="33" t="str">
        <f t="shared" si="8"/>
        <v/>
      </c>
    </row>
    <row r="48" spans="1:30">
      <c r="C48"/>
      <c r="D48" s="34" t="str">
        <f t="shared" si="6"/>
        <v/>
      </c>
      <c r="F48" s="33" t="str">
        <f t="shared" si="7"/>
        <v/>
      </c>
      <c r="AC48" s="33" t="str">
        <f t="shared" si="8"/>
        <v/>
      </c>
      <c r="AD48" s="33" t="str">
        <f t="shared" si="8"/>
        <v/>
      </c>
    </row>
    <row r="49" spans="3:30">
      <c r="C49"/>
      <c r="D49" s="34" t="str">
        <f t="shared" si="6"/>
        <v/>
      </c>
      <c r="F49" s="33" t="str">
        <f t="shared" si="7"/>
        <v/>
      </c>
      <c r="AC49" s="33" t="str">
        <f t="shared" si="8"/>
        <v/>
      </c>
      <c r="AD49" s="33" t="str">
        <f t="shared" si="8"/>
        <v/>
      </c>
    </row>
    <row r="50" spans="3:30">
      <c r="C50"/>
      <c r="D50" s="34" t="str">
        <f t="shared" si="6"/>
        <v/>
      </c>
      <c r="F50" s="33" t="str">
        <f t="shared" si="7"/>
        <v/>
      </c>
      <c r="AC50" s="33" t="str">
        <f t="shared" si="8"/>
        <v/>
      </c>
      <c r="AD50" s="33" t="str">
        <f t="shared" si="8"/>
        <v/>
      </c>
    </row>
    <row r="51" spans="3:30">
      <c r="C51"/>
      <c r="D51" s="34" t="str">
        <f t="shared" si="6"/>
        <v/>
      </c>
      <c r="F51" s="33" t="str">
        <f t="shared" si="7"/>
        <v/>
      </c>
      <c r="AC51" s="33" t="str">
        <f t="shared" si="8"/>
        <v/>
      </c>
      <c r="AD51" s="33" t="str">
        <f t="shared" si="8"/>
        <v/>
      </c>
    </row>
    <row r="52" spans="3:30">
      <c r="C52"/>
      <c r="D52" s="34" t="str">
        <f t="shared" si="6"/>
        <v/>
      </c>
      <c r="F52" s="33" t="str">
        <f t="shared" si="7"/>
        <v/>
      </c>
      <c r="AC52" s="33" t="str">
        <f t="shared" si="8"/>
        <v/>
      </c>
      <c r="AD52" s="33" t="str">
        <f t="shared" si="8"/>
        <v/>
      </c>
    </row>
    <row r="53" spans="3:30">
      <c r="C53"/>
      <c r="D53" s="34" t="str">
        <f t="shared" si="6"/>
        <v/>
      </c>
      <c r="F53" s="33" t="str">
        <f t="shared" si="7"/>
        <v/>
      </c>
      <c r="AC53" s="33" t="str">
        <f t="shared" si="8"/>
        <v/>
      </c>
      <c r="AD53" s="33" t="str">
        <f t="shared" si="8"/>
        <v/>
      </c>
    </row>
    <row r="54" spans="3:30">
      <c r="C54"/>
      <c r="D54" s="34" t="str">
        <f t="shared" si="6"/>
        <v/>
      </c>
      <c r="F54" s="33" t="str">
        <f t="shared" si="7"/>
        <v/>
      </c>
      <c r="AC54" s="33" t="str">
        <f t="shared" si="8"/>
        <v/>
      </c>
      <c r="AD54" s="33" t="str">
        <f t="shared" si="8"/>
        <v/>
      </c>
    </row>
    <row r="55" spans="3:30">
      <c r="C55"/>
      <c r="D55" s="34" t="str">
        <f t="shared" si="6"/>
        <v/>
      </c>
      <c r="F55" s="33" t="str">
        <f t="shared" si="7"/>
        <v/>
      </c>
      <c r="AC55" s="33" t="str">
        <f t="shared" si="8"/>
        <v/>
      </c>
      <c r="AD55" s="33" t="str">
        <f t="shared" si="8"/>
        <v/>
      </c>
    </row>
    <row r="56" spans="3:30">
      <c r="C56"/>
      <c r="D56" s="34" t="str">
        <f t="shared" si="6"/>
        <v/>
      </c>
      <c r="F56" s="33" t="str">
        <f t="shared" si="7"/>
        <v/>
      </c>
      <c r="AC56" s="33" t="str">
        <f t="shared" si="8"/>
        <v/>
      </c>
      <c r="AD56" s="33" t="str">
        <f t="shared" si="8"/>
        <v/>
      </c>
    </row>
    <row r="57" spans="3:30">
      <c r="C57"/>
      <c r="D57" s="34" t="str">
        <f t="shared" si="6"/>
        <v/>
      </c>
      <c r="F57" s="33" t="str">
        <f t="shared" si="7"/>
        <v/>
      </c>
      <c r="AC57" s="33" t="str">
        <f t="shared" si="8"/>
        <v/>
      </c>
      <c r="AD57" s="33" t="str">
        <f t="shared" si="8"/>
        <v/>
      </c>
    </row>
    <row r="58" spans="3:30">
      <c r="C58"/>
      <c r="D58" s="34" t="str">
        <f t="shared" si="6"/>
        <v/>
      </c>
      <c r="F58" s="33" t="str">
        <f t="shared" si="7"/>
        <v/>
      </c>
      <c r="AC58" s="33" t="str">
        <f t="shared" si="8"/>
        <v/>
      </c>
      <c r="AD58" s="33" t="str">
        <f t="shared" si="8"/>
        <v/>
      </c>
    </row>
    <row r="59" spans="3:30">
      <c r="C59"/>
      <c r="D59" s="34" t="str">
        <f t="shared" si="6"/>
        <v/>
      </c>
      <c r="F59" s="33" t="str">
        <f t="shared" si="7"/>
        <v/>
      </c>
      <c r="AC59" s="33" t="str">
        <f t="shared" si="8"/>
        <v/>
      </c>
      <c r="AD59" s="33" t="str">
        <f t="shared" si="8"/>
        <v/>
      </c>
    </row>
    <row r="60" spans="3:30">
      <c r="C60"/>
      <c r="D60" s="34" t="str">
        <f t="shared" si="6"/>
        <v/>
      </c>
      <c r="F60" s="33" t="str">
        <f t="shared" si="7"/>
        <v/>
      </c>
      <c r="AC60" s="33" t="str">
        <f t="shared" ref="AC60:AD63" si="9">IF(OR(AC$14="",$E60=""),"",AB60)</f>
        <v/>
      </c>
      <c r="AD60" s="33" t="str">
        <f t="shared" si="9"/>
        <v/>
      </c>
    </row>
    <row r="61" spans="3:30">
      <c r="C61"/>
      <c r="D61" s="34" t="str">
        <f t="shared" si="6"/>
        <v/>
      </c>
      <c r="F61" s="33" t="str">
        <f t="shared" si="7"/>
        <v/>
      </c>
      <c r="AC61" s="33" t="str">
        <f t="shared" si="9"/>
        <v/>
      </c>
      <c r="AD61" s="33" t="str">
        <f t="shared" si="9"/>
        <v/>
      </c>
    </row>
    <row r="62" spans="3:30">
      <c r="C62"/>
      <c r="D62" s="34" t="str">
        <f t="shared" si="6"/>
        <v/>
      </c>
      <c r="F62" s="33" t="str">
        <f t="shared" si="7"/>
        <v/>
      </c>
      <c r="G62" s="33" t="str">
        <f t="shared" ref="G62:AB62" si="10">IF(OR(G$14="",$E62=""),"",F62)</f>
        <v/>
      </c>
      <c r="H62" s="33" t="str">
        <f t="shared" si="10"/>
        <v/>
      </c>
      <c r="I62" s="33" t="str">
        <f t="shared" si="10"/>
        <v/>
      </c>
      <c r="J62" s="33" t="str">
        <f t="shared" si="10"/>
        <v/>
      </c>
      <c r="K62" s="33" t="str">
        <f t="shared" si="10"/>
        <v/>
      </c>
      <c r="L62" s="33" t="str">
        <f t="shared" si="10"/>
        <v/>
      </c>
      <c r="M62" s="33" t="str">
        <f t="shared" si="10"/>
        <v/>
      </c>
      <c r="N62" s="33" t="str">
        <f t="shared" si="10"/>
        <v/>
      </c>
      <c r="O62" s="33" t="str">
        <f t="shared" si="10"/>
        <v/>
      </c>
      <c r="P62" s="33" t="str">
        <f t="shared" si="10"/>
        <v/>
      </c>
      <c r="Q62" s="33" t="str">
        <f t="shared" si="10"/>
        <v/>
      </c>
      <c r="R62" s="33" t="str">
        <f t="shared" si="10"/>
        <v/>
      </c>
      <c r="S62" s="33" t="str">
        <f t="shared" si="10"/>
        <v/>
      </c>
      <c r="T62" s="33" t="str">
        <f t="shared" si="10"/>
        <v/>
      </c>
      <c r="U62" s="33" t="str">
        <f t="shared" si="10"/>
        <v/>
      </c>
      <c r="V62" s="33" t="str">
        <f t="shared" si="10"/>
        <v/>
      </c>
      <c r="W62" s="33" t="str">
        <f t="shared" si="10"/>
        <v/>
      </c>
      <c r="X62" s="33" t="str">
        <f t="shared" si="10"/>
        <v/>
      </c>
      <c r="Y62" s="33" t="str">
        <f t="shared" si="10"/>
        <v/>
      </c>
      <c r="Z62" s="33" t="str">
        <f t="shared" si="10"/>
        <v/>
      </c>
      <c r="AA62" s="33" t="str">
        <f t="shared" si="10"/>
        <v/>
      </c>
      <c r="AB62" s="33" t="str">
        <f t="shared" si="10"/>
        <v/>
      </c>
      <c r="AC62" s="33" t="str">
        <f t="shared" si="9"/>
        <v/>
      </c>
      <c r="AD62" s="33" t="str">
        <f t="shared" si="9"/>
        <v/>
      </c>
    </row>
    <row r="63" spans="3:30">
      <c r="C63"/>
      <c r="D63" s="34" t="str">
        <f t="shared" si="6"/>
        <v/>
      </c>
      <c r="F63" s="33" t="str">
        <f t="shared" si="7"/>
        <v/>
      </c>
      <c r="G63" s="33" t="str">
        <f t="shared" ref="G63:AB63" si="11">IF(OR(G$14="",$E63=""),"",F63)</f>
        <v/>
      </c>
      <c r="H63" s="33" t="str">
        <f t="shared" si="11"/>
        <v/>
      </c>
      <c r="I63" s="33" t="str">
        <f t="shared" si="11"/>
        <v/>
      </c>
      <c r="J63" s="33" t="str">
        <f t="shared" si="11"/>
        <v/>
      </c>
      <c r="K63" s="33" t="str">
        <f t="shared" si="11"/>
        <v/>
      </c>
      <c r="L63" s="33" t="str">
        <f t="shared" si="11"/>
        <v/>
      </c>
      <c r="M63" s="33" t="str">
        <f t="shared" si="11"/>
        <v/>
      </c>
      <c r="N63" s="33" t="str">
        <f t="shared" si="11"/>
        <v/>
      </c>
      <c r="O63" s="33" t="str">
        <f t="shared" si="11"/>
        <v/>
      </c>
      <c r="P63" s="33" t="str">
        <f t="shared" si="11"/>
        <v/>
      </c>
      <c r="Q63" s="33" t="str">
        <f t="shared" si="11"/>
        <v/>
      </c>
      <c r="R63" s="33" t="str">
        <f t="shared" si="11"/>
        <v/>
      </c>
      <c r="S63" s="33" t="str">
        <f t="shared" si="11"/>
        <v/>
      </c>
      <c r="T63" s="33" t="str">
        <f t="shared" si="11"/>
        <v/>
      </c>
      <c r="U63" s="33" t="str">
        <f t="shared" si="11"/>
        <v/>
      </c>
      <c r="V63" s="33" t="str">
        <f t="shared" si="11"/>
        <v/>
      </c>
      <c r="W63" s="33" t="str">
        <f t="shared" si="11"/>
        <v/>
      </c>
      <c r="X63" s="33" t="str">
        <f t="shared" si="11"/>
        <v/>
      </c>
      <c r="Y63" s="33" t="str">
        <f t="shared" si="11"/>
        <v/>
      </c>
      <c r="Z63" s="33" t="str">
        <f t="shared" si="11"/>
        <v/>
      </c>
      <c r="AA63" s="33" t="str">
        <f t="shared" si="11"/>
        <v/>
      </c>
      <c r="AB63" s="33" t="str">
        <f t="shared" si="11"/>
        <v/>
      </c>
      <c r="AC63" s="33" t="str">
        <f t="shared" si="9"/>
        <v/>
      </c>
      <c r="AD63" s="33" t="str">
        <f t="shared" si="9"/>
        <v/>
      </c>
    </row>
    <row r="64" spans="3:30">
      <c r="C64"/>
      <c r="D64" s="34" t="str">
        <f t="shared" si="6"/>
        <v/>
      </c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</sheetData>
  <phoneticPr fontId="2" type="noConversion"/>
  <conditionalFormatting sqref="A15:AD58">
    <cfRule type="expression" dxfId="247" priority="3" stopIfTrue="1">
      <formula>$D15="Done"</formula>
    </cfRule>
    <cfRule type="expression" dxfId="246" priority="4" stopIfTrue="1">
      <formula>$D15="Ongoing"</formula>
    </cfRule>
  </conditionalFormatting>
  <conditionalFormatting sqref="F15">
    <cfRule type="expression" dxfId="245" priority="1" stopIfTrue="1">
      <formula>$D15="Done"</formula>
    </cfRule>
    <cfRule type="expression" dxfId="24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D64"/>
  <sheetViews>
    <sheetView workbookViewId="0">
      <pane ySplit="14" topLeftCell="A15" activePane="bottomLeft" state="frozen"/>
      <selection pane="bottomLeft" activeCell="B24" sqref="B24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2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26</v>
      </c>
      <c r="F10" s="17">
        <f ca="1">IF(AND(SUM(OFFSET(F14,1,0,TaskRows,1))=0),0,SUM(OFFSET(F14,1,0,TaskRows,1)))</f>
        <v>26</v>
      </c>
      <c r="G10" s="17">
        <f t="shared" ref="G10:AD10" ca="1" si="0">IF(AND(SUM(OFFSET(G14,1,0,TaskRows,1))=0),"",SUM(OFFSET(G14,1,0,TaskRows,1)))</f>
        <v>23.5</v>
      </c>
      <c r="H10" s="17">
        <f t="shared" ca="1" si="0"/>
        <v>21</v>
      </c>
      <c r="I10" s="17">
        <f t="shared" ca="1" si="0"/>
        <v>20</v>
      </c>
      <c r="J10" s="17">
        <f t="shared" ca="1" si="0"/>
        <v>15.5</v>
      </c>
      <c r="K10" s="17">
        <f t="shared" ca="1" si="0"/>
        <v>12.5</v>
      </c>
      <c r="L10" s="17">
        <f t="shared" ca="1" si="0"/>
        <v>8.5</v>
      </c>
      <c r="M10" s="17">
        <f t="shared" ca="1" si="0"/>
        <v>6.9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10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26</v>
      </c>
      <c r="G11" s="2">
        <f t="shared" ref="G11:AD11" ca="1" si="1">IF(G14="","",TotalEffort-TotalEffort/(ImplementationDays)*(G14-1))</f>
        <v>22.75</v>
      </c>
      <c r="H11" s="2">
        <f t="shared" ca="1" si="1"/>
        <v>19.5</v>
      </c>
      <c r="I11" s="2">
        <f t="shared" ca="1" si="1"/>
        <v>16.25</v>
      </c>
      <c r="J11" s="2">
        <f t="shared" ca="1" si="1"/>
        <v>13</v>
      </c>
      <c r="K11" s="2">
        <f t="shared" ca="1" si="1"/>
        <v>9.75</v>
      </c>
      <c r="L11" s="2">
        <f t="shared" ca="1" si="1"/>
        <v>6.5</v>
      </c>
      <c r="M11" s="2">
        <f t="shared" ca="1" si="1"/>
        <v>3.25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29.279999999999994</v>
      </c>
      <c r="G12" s="2">
        <f t="shared" ca="1" si="2"/>
        <v>25.959999999999994</v>
      </c>
      <c r="H12" s="2">
        <f t="shared" ca="1" si="2"/>
        <v>22.639999999999993</v>
      </c>
      <c r="I12" s="2">
        <f t="shared" ca="1" si="2"/>
        <v>19.319999999999993</v>
      </c>
      <c r="J12" s="2">
        <f t="shared" ca="1" si="2"/>
        <v>15.999999999999996</v>
      </c>
      <c r="K12" s="2">
        <f t="shared" ca="1" si="2"/>
        <v>12.679999999999996</v>
      </c>
      <c r="L12" s="2">
        <f t="shared" ca="1" si="2"/>
        <v>9.3599999999999959</v>
      </c>
      <c r="M12" s="2">
        <f t="shared" ca="1" si="2"/>
        <v>6.0399999999999956</v>
      </c>
      <c r="N12" s="2">
        <f t="shared" ca="1" si="2"/>
        <v>2.7199999999999953</v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117</v>
      </c>
      <c r="B15" s="2">
        <v>2</v>
      </c>
      <c r="C15" s="103" t="s">
        <v>98</v>
      </c>
      <c r="D15" t="s">
        <v>76</v>
      </c>
      <c r="E15" s="2">
        <v>2</v>
      </c>
      <c r="F15" s="2">
        <f t="shared" ref="F15:F21" si="4">IF(OR(F$14="",$E15=""),"",E15)</f>
        <v>2</v>
      </c>
      <c r="G15" s="104">
        <v>2</v>
      </c>
      <c r="H15" s="104">
        <v>2</v>
      </c>
      <c r="I15" s="2">
        <v>2</v>
      </c>
      <c r="J15" s="2">
        <v>1.5</v>
      </c>
      <c r="K15" s="2">
        <v>1.5</v>
      </c>
      <c r="L15" s="2">
        <v>1.5</v>
      </c>
      <c r="M15" s="2">
        <v>1.5</v>
      </c>
      <c r="AC15" s="2" t="str">
        <f t="shared" ref="AC15:AD22" si="5">IF(OR(AC$14="",$E15=""),"",AB15)</f>
        <v/>
      </c>
      <c r="AD15" s="2" t="str">
        <f t="shared" si="5"/>
        <v/>
      </c>
    </row>
    <row r="16" spans="1:30">
      <c r="A16" s="101" t="s">
        <v>116</v>
      </c>
      <c r="B16" s="2">
        <v>6</v>
      </c>
      <c r="C16" s="103" t="s">
        <v>114</v>
      </c>
      <c r="D16" t="s">
        <v>75</v>
      </c>
      <c r="E16" s="2">
        <v>5</v>
      </c>
      <c r="F16" s="2">
        <f t="shared" si="4"/>
        <v>5</v>
      </c>
      <c r="G16" s="2">
        <v>4</v>
      </c>
      <c r="H16" s="2">
        <v>3</v>
      </c>
      <c r="I16" s="2">
        <v>3</v>
      </c>
      <c r="J16" s="104">
        <v>2</v>
      </c>
      <c r="K16" s="2">
        <v>1</v>
      </c>
      <c r="L16" s="2">
        <v>1</v>
      </c>
      <c r="M16" s="2">
        <v>0</v>
      </c>
      <c r="AC16" s="2" t="str">
        <f t="shared" si="5"/>
        <v/>
      </c>
      <c r="AD16" s="2" t="str">
        <f t="shared" si="5"/>
        <v/>
      </c>
    </row>
    <row r="17" spans="1:30">
      <c r="A17" t="s">
        <v>118</v>
      </c>
      <c r="B17" s="2">
        <v>5</v>
      </c>
      <c r="C17" t="s">
        <v>98</v>
      </c>
      <c r="D17" t="s">
        <v>75</v>
      </c>
      <c r="E17" s="2">
        <v>2</v>
      </c>
      <c r="F17" s="2">
        <f t="shared" si="4"/>
        <v>2</v>
      </c>
      <c r="G17" s="2">
        <v>2</v>
      </c>
      <c r="H17" s="2">
        <v>1.5</v>
      </c>
      <c r="I17" s="2">
        <v>1</v>
      </c>
      <c r="J17" s="2">
        <v>1</v>
      </c>
      <c r="K17" s="2">
        <v>1</v>
      </c>
      <c r="L17" s="2">
        <v>0</v>
      </c>
      <c r="AC17" s="2" t="str">
        <f t="shared" si="5"/>
        <v/>
      </c>
      <c r="AD17" s="2" t="str">
        <f t="shared" si="5"/>
        <v/>
      </c>
    </row>
    <row r="18" spans="1:30" ht="25.5">
      <c r="A18" s="63" t="s">
        <v>119</v>
      </c>
      <c r="B18" s="2">
        <v>5</v>
      </c>
      <c r="C18" s="103" t="s">
        <v>130</v>
      </c>
      <c r="D18" t="s">
        <v>75</v>
      </c>
      <c r="E18" s="2">
        <v>1.5</v>
      </c>
      <c r="F18" s="2">
        <f t="shared" si="4"/>
        <v>1.5</v>
      </c>
      <c r="G18" s="2">
        <v>1.5</v>
      </c>
      <c r="H18" s="2">
        <v>1.5</v>
      </c>
      <c r="I18" s="2">
        <v>1.5</v>
      </c>
      <c r="J18" s="2">
        <v>1.5</v>
      </c>
      <c r="K18" s="2">
        <v>1</v>
      </c>
      <c r="L18" s="2">
        <v>0</v>
      </c>
      <c r="AC18" s="2" t="str">
        <f t="shared" si="5"/>
        <v/>
      </c>
      <c r="AD18" s="2" t="str">
        <f t="shared" si="5"/>
        <v/>
      </c>
    </row>
    <row r="19" spans="1:30" ht="25.5">
      <c r="A19" s="106" t="s">
        <v>128</v>
      </c>
      <c r="B19" s="2">
        <v>5</v>
      </c>
      <c r="C19" s="103" t="s">
        <v>98</v>
      </c>
      <c r="D19" t="s">
        <v>76</v>
      </c>
      <c r="E19" s="2">
        <v>2</v>
      </c>
      <c r="F19" s="2">
        <f t="shared" si="4"/>
        <v>2</v>
      </c>
      <c r="G19" s="2">
        <v>1</v>
      </c>
      <c r="H19" s="2">
        <v>1</v>
      </c>
      <c r="I19" s="2">
        <v>1</v>
      </c>
      <c r="J19" s="2">
        <v>0.5</v>
      </c>
      <c r="K19" s="2">
        <v>0.5</v>
      </c>
      <c r="L19" s="2">
        <v>0.5</v>
      </c>
      <c r="M19" s="2">
        <v>0.2</v>
      </c>
      <c r="AC19" s="2" t="str">
        <f t="shared" si="5"/>
        <v/>
      </c>
      <c r="AD19" s="2" t="str">
        <f t="shared" si="5"/>
        <v/>
      </c>
    </row>
    <row r="20" spans="1:30">
      <c r="A20" s="103" t="s">
        <v>120</v>
      </c>
      <c r="B20" s="2">
        <v>5</v>
      </c>
      <c r="C20" s="103" t="s">
        <v>98</v>
      </c>
      <c r="D20" t="s">
        <v>76</v>
      </c>
      <c r="E20" s="2">
        <v>0.5</v>
      </c>
      <c r="F20" s="2">
        <f t="shared" si="4"/>
        <v>0.5</v>
      </c>
      <c r="G20" s="104">
        <v>0.5</v>
      </c>
      <c r="H20" s="2">
        <v>0.5</v>
      </c>
      <c r="I20" s="2">
        <v>0.5</v>
      </c>
      <c r="J20" s="2">
        <v>0.5</v>
      </c>
      <c r="K20" s="2">
        <v>0.5</v>
      </c>
      <c r="L20" s="2">
        <v>0.5</v>
      </c>
      <c r="M20" s="2">
        <v>0.2</v>
      </c>
      <c r="AC20" s="2" t="str">
        <f t="shared" si="5"/>
        <v/>
      </c>
      <c r="AD20" s="2" t="str">
        <f t="shared" si="5"/>
        <v/>
      </c>
    </row>
    <row r="21" spans="1:30">
      <c r="A21" s="103" t="s">
        <v>121</v>
      </c>
      <c r="B21" s="2">
        <v>7</v>
      </c>
      <c r="C21" s="103" t="s">
        <v>122</v>
      </c>
      <c r="D21" t="str">
        <f t="shared" ref="D21:D35" si="6">IF(A21&lt;&gt;"","Planned","")</f>
        <v>Planned</v>
      </c>
      <c r="E21" s="2">
        <v>4</v>
      </c>
      <c r="F21" s="2">
        <f t="shared" si="4"/>
        <v>4</v>
      </c>
      <c r="G21" s="2">
        <v>4</v>
      </c>
      <c r="H21" s="2">
        <v>4</v>
      </c>
      <c r="I21" s="2">
        <v>4</v>
      </c>
      <c r="J21" s="2">
        <v>4</v>
      </c>
      <c r="K21" s="2">
        <v>4</v>
      </c>
      <c r="L21" s="2">
        <v>4</v>
      </c>
      <c r="M21" s="2">
        <v>4</v>
      </c>
      <c r="AC21" s="2" t="str">
        <f t="shared" si="5"/>
        <v/>
      </c>
      <c r="AD21" s="2" t="str">
        <f t="shared" si="5"/>
        <v/>
      </c>
    </row>
    <row r="22" spans="1:30">
      <c r="A22" s="103" t="s">
        <v>127</v>
      </c>
      <c r="B22" s="2">
        <v>1</v>
      </c>
      <c r="C22" s="103" t="s">
        <v>98</v>
      </c>
      <c r="D22" t="s">
        <v>75</v>
      </c>
      <c r="E22" s="2">
        <v>1</v>
      </c>
      <c r="F22" s="2">
        <v>1</v>
      </c>
      <c r="G22" s="2">
        <v>0.5</v>
      </c>
      <c r="H22" s="2">
        <v>0.5</v>
      </c>
      <c r="I22" s="2">
        <v>0</v>
      </c>
      <c r="AC22" s="2" t="str">
        <f t="shared" si="5"/>
        <v/>
      </c>
      <c r="AD22" s="2" t="str">
        <f t="shared" si="5"/>
        <v/>
      </c>
    </row>
    <row r="23" spans="1:30">
      <c r="A23" s="103" t="s">
        <v>126</v>
      </c>
      <c r="B23" s="2">
        <v>5</v>
      </c>
      <c r="C23" s="103" t="s">
        <v>98</v>
      </c>
      <c r="D23" t="s">
        <v>76</v>
      </c>
      <c r="E23" s="2">
        <v>5</v>
      </c>
      <c r="F23" s="2">
        <f t="shared" ref="F23:U58" si="7">IF(OR(F$14="",$E23=""),"",E23)</f>
        <v>5</v>
      </c>
      <c r="G23" s="2">
        <v>5</v>
      </c>
      <c r="H23" s="2">
        <v>5</v>
      </c>
      <c r="I23" s="2">
        <v>5</v>
      </c>
      <c r="J23" s="2">
        <v>3</v>
      </c>
      <c r="K23" s="2">
        <v>2</v>
      </c>
      <c r="L23" s="2">
        <v>1</v>
      </c>
      <c r="M23" s="2">
        <v>1</v>
      </c>
      <c r="AC23" s="2" t="str">
        <f t="shared" ref="AC23:AD31" si="8">IF(OR(AC$14="",$E23=""),"",AB23)</f>
        <v/>
      </c>
      <c r="AD23" s="2" t="str">
        <f t="shared" si="8"/>
        <v/>
      </c>
    </row>
    <row r="24" spans="1:30" ht="25.5">
      <c r="A24" s="106" t="s">
        <v>129</v>
      </c>
      <c r="B24" s="2">
        <v>5</v>
      </c>
      <c r="C24" s="103" t="s">
        <v>98</v>
      </c>
      <c r="D24" t="s">
        <v>75</v>
      </c>
      <c r="E24" s="2">
        <v>3</v>
      </c>
      <c r="F24" s="2">
        <v>3</v>
      </c>
      <c r="G24" s="2">
        <v>3</v>
      </c>
      <c r="H24" s="2">
        <v>2</v>
      </c>
      <c r="I24" s="2">
        <v>2</v>
      </c>
      <c r="J24" s="2">
        <v>1.5</v>
      </c>
      <c r="K24" s="2">
        <v>1</v>
      </c>
      <c r="L24" s="2">
        <v>0</v>
      </c>
      <c r="AC24" s="2" t="str">
        <f t="shared" si="8"/>
        <v/>
      </c>
      <c r="AD24" s="2" t="str">
        <f t="shared" si="8"/>
        <v/>
      </c>
    </row>
    <row r="25" spans="1:30">
      <c r="D25" t="str">
        <f t="shared" si="6"/>
        <v/>
      </c>
      <c r="F25" s="2" t="str">
        <f t="shared" si="7"/>
        <v/>
      </c>
      <c r="AC25" s="2" t="str">
        <f t="shared" si="8"/>
        <v/>
      </c>
      <c r="AD25" s="2" t="str">
        <f t="shared" si="8"/>
        <v/>
      </c>
    </row>
    <row r="26" spans="1:30">
      <c r="D26" t="str">
        <f t="shared" si="6"/>
        <v/>
      </c>
      <c r="F26" s="2" t="str">
        <f t="shared" si="7"/>
        <v/>
      </c>
      <c r="AC26" s="2" t="str">
        <f t="shared" si="8"/>
        <v/>
      </c>
      <c r="AD26" s="2" t="str">
        <f t="shared" si="8"/>
        <v/>
      </c>
    </row>
    <row r="27" spans="1:30">
      <c r="D27" t="str">
        <f t="shared" si="6"/>
        <v/>
      </c>
      <c r="F27" s="2" t="str">
        <f t="shared" si="7"/>
        <v/>
      </c>
      <c r="AC27" s="2" t="str">
        <f t="shared" si="8"/>
        <v/>
      </c>
      <c r="AD27" s="2" t="str">
        <f t="shared" si="8"/>
        <v/>
      </c>
    </row>
    <row r="28" spans="1:30">
      <c r="D28" t="str">
        <f t="shared" si="6"/>
        <v/>
      </c>
      <c r="F28" s="2" t="str">
        <f t="shared" si="7"/>
        <v/>
      </c>
      <c r="AC28" s="2" t="str">
        <f t="shared" si="8"/>
        <v/>
      </c>
      <c r="AD28" s="2" t="str">
        <f t="shared" si="8"/>
        <v/>
      </c>
    </row>
    <row r="29" spans="1:30">
      <c r="D29" t="str">
        <f t="shared" si="6"/>
        <v/>
      </c>
      <c r="F29" s="2" t="str">
        <f t="shared" si="7"/>
        <v/>
      </c>
      <c r="AC29" s="2" t="str">
        <f t="shared" si="8"/>
        <v/>
      </c>
      <c r="AD29" s="2" t="str">
        <f t="shared" si="8"/>
        <v/>
      </c>
    </row>
    <row r="30" spans="1:30">
      <c r="D30" t="str">
        <f t="shared" si="6"/>
        <v/>
      </c>
      <c r="F30" s="2" t="str">
        <f t="shared" si="7"/>
        <v/>
      </c>
      <c r="AC30" s="2" t="str">
        <f t="shared" si="8"/>
        <v/>
      </c>
      <c r="AD30" s="2" t="str">
        <f t="shared" si="8"/>
        <v/>
      </c>
    </row>
    <row r="31" spans="1:30">
      <c r="D31" t="str">
        <f t="shared" si="6"/>
        <v/>
      </c>
      <c r="F31" s="2" t="str">
        <f t="shared" si="7"/>
        <v/>
      </c>
      <c r="AC31" s="2" t="str">
        <f t="shared" si="8"/>
        <v/>
      </c>
      <c r="AD31" s="2" t="str">
        <f t="shared" si="8"/>
        <v/>
      </c>
    </row>
    <row r="32" spans="1:30">
      <c r="D32" t="str">
        <f t="shared" si="6"/>
        <v/>
      </c>
      <c r="F32" s="2" t="str">
        <f t="shared" si="7"/>
        <v/>
      </c>
      <c r="AC32" s="2" t="str">
        <f t="shared" ref="AC32:AD47" si="9">IF(OR(AC$14="",$E32=""),"",AB32)</f>
        <v/>
      </c>
      <c r="AD32" s="2" t="str">
        <f t="shared" si="9"/>
        <v/>
      </c>
    </row>
    <row r="33" spans="4:30">
      <c r="D33" t="str">
        <f t="shared" si="6"/>
        <v/>
      </c>
      <c r="F33" s="2" t="str">
        <f t="shared" si="7"/>
        <v/>
      </c>
      <c r="AC33" s="2" t="str">
        <f t="shared" si="9"/>
        <v/>
      </c>
      <c r="AD33" s="2" t="str">
        <f t="shared" si="9"/>
        <v/>
      </c>
    </row>
    <row r="34" spans="4:30">
      <c r="D34" t="str">
        <f t="shared" si="6"/>
        <v/>
      </c>
      <c r="F34" s="2" t="str">
        <f t="shared" si="7"/>
        <v/>
      </c>
      <c r="AC34" s="2" t="str">
        <f t="shared" si="9"/>
        <v/>
      </c>
      <c r="AD34" s="2" t="str">
        <f t="shared" si="9"/>
        <v/>
      </c>
    </row>
    <row r="35" spans="4:30">
      <c r="D35" t="str">
        <f t="shared" si="6"/>
        <v/>
      </c>
      <c r="F35" s="2" t="str">
        <f t="shared" si="7"/>
        <v/>
      </c>
      <c r="AC35" s="2" t="str">
        <f t="shared" si="9"/>
        <v/>
      </c>
      <c r="AD35" s="2" t="str">
        <f t="shared" si="9"/>
        <v/>
      </c>
    </row>
    <row r="36" spans="4:30">
      <c r="D36" t="str">
        <f t="shared" ref="D36:D59" si="10">IF(A36&lt;&gt;"","Planned","")</f>
        <v/>
      </c>
      <c r="F36" s="2" t="str">
        <f t="shared" si="7"/>
        <v/>
      </c>
      <c r="AC36" s="2" t="str">
        <f t="shared" si="9"/>
        <v/>
      </c>
      <c r="AD36" s="2" t="str">
        <f t="shared" si="9"/>
        <v/>
      </c>
    </row>
    <row r="37" spans="4:30">
      <c r="D37" t="str">
        <f t="shared" si="10"/>
        <v/>
      </c>
      <c r="F37" s="2" t="str">
        <f t="shared" si="7"/>
        <v/>
      </c>
      <c r="AC37" s="2" t="str">
        <f t="shared" si="9"/>
        <v/>
      </c>
      <c r="AD37" s="2" t="str">
        <f t="shared" si="9"/>
        <v/>
      </c>
    </row>
    <row r="38" spans="4:30">
      <c r="D38" t="str">
        <f t="shared" si="10"/>
        <v/>
      </c>
      <c r="F38" s="2" t="str">
        <f t="shared" si="7"/>
        <v/>
      </c>
      <c r="AC38" s="2" t="str">
        <f t="shared" si="9"/>
        <v/>
      </c>
      <c r="AD38" s="2" t="str">
        <f t="shared" si="9"/>
        <v/>
      </c>
    </row>
    <row r="39" spans="4:30">
      <c r="D39" t="str">
        <f t="shared" si="10"/>
        <v/>
      </c>
      <c r="F39" s="2" t="str">
        <f t="shared" si="7"/>
        <v/>
      </c>
      <c r="AC39" s="2" t="str">
        <f t="shared" si="9"/>
        <v/>
      </c>
      <c r="AD39" s="2" t="str">
        <f t="shared" si="9"/>
        <v/>
      </c>
    </row>
    <row r="40" spans="4:30">
      <c r="D40" t="str">
        <f t="shared" si="10"/>
        <v/>
      </c>
      <c r="F40" s="2" t="str">
        <f t="shared" si="7"/>
        <v/>
      </c>
      <c r="AC40" s="2" t="str">
        <f t="shared" si="9"/>
        <v/>
      </c>
      <c r="AD40" s="2" t="str">
        <f t="shared" si="9"/>
        <v/>
      </c>
    </row>
    <row r="41" spans="4:30">
      <c r="D41" t="str">
        <f t="shared" si="10"/>
        <v/>
      </c>
      <c r="F41" s="2" t="str">
        <f t="shared" si="7"/>
        <v/>
      </c>
      <c r="AC41" s="2" t="str">
        <f t="shared" si="9"/>
        <v/>
      </c>
      <c r="AD41" s="2" t="str">
        <f t="shared" si="9"/>
        <v/>
      </c>
    </row>
    <row r="42" spans="4:30">
      <c r="D42" t="str">
        <f t="shared" si="10"/>
        <v/>
      </c>
      <c r="F42" s="2" t="str">
        <f t="shared" si="7"/>
        <v/>
      </c>
      <c r="AC42" s="2" t="str">
        <f t="shared" si="9"/>
        <v/>
      </c>
      <c r="AD42" s="2" t="str">
        <f t="shared" si="9"/>
        <v/>
      </c>
    </row>
    <row r="43" spans="4:30">
      <c r="D43" t="str">
        <f t="shared" si="10"/>
        <v/>
      </c>
      <c r="F43" s="2" t="str">
        <f t="shared" si="7"/>
        <v/>
      </c>
      <c r="AC43" s="2" t="str">
        <f t="shared" si="9"/>
        <v/>
      </c>
      <c r="AD43" s="2" t="str">
        <f t="shared" si="9"/>
        <v/>
      </c>
    </row>
    <row r="44" spans="4:30">
      <c r="D44" t="str">
        <f t="shared" si="10"/>
        <v/>
      </c>
      <c r="F44" s="2" t="str">
        <f t="shared" si="7"/>
        <v/>
      </c>
      <c r="AC44" s="2" t="str">
        <f t="shared" si="9"/>
        <v/>
      </c>
      <c r="AD44" s="2" t="str">
        <f t="shared" si="9"/>
        <v/>
      </c>
    </row>
    <row r="45" spans="4:30">
      <c r="D45" t="str">
        <f t="shared" si="10"/>
        <v/>
      </c>
      <c r="F45" s="2" t="str">
        <f t="shared" si="7"/>
        <v/>
      </c>
      <c r="AC45" s="2" t="str">
        <f t="shared" si="9"/>
        <v/>
      </c>
      <c r="AD45" s="2" t="str">
        <f t="shared" si="9"/>
        <v/>
      </c>
    </row>
    <row r="46" spans="4:30">
      <c r="D46" t="str">
        <f t="shared" si="10"/>
        <v/>
      </c>
      <c r="F46" s="2" t="str">
        <f t="shared" si="7"/>
        <v/>
      </c>
      <c r="AC46" s="2" t="str">
        <f t="shared" si="9"/>
        <v/>
      </c>
      <c r="AD46" s="2" t="str">
        <f t="shared" si="9"/>
        <v/>
      </c>
    </row>
    <row r="47" spans="4:30">
      <c r="D47" t="str">
        <f t="shared" si="10"/>
        <v/>
      </c>
      <c r="F47" s="2" t="str">
        <f t="shared" si="7"/>
        <v/>
      </c>
      <c r="AC47" s="2" t="str">
        <f t="shared" si="9"/>
        <v/>
      </c>
      <c r="AD47" s="2" t="str">
        <f t="shared" si="9"/>
        <v/>
      </c>
    </row>
    <row r="48" spans="4:30">
      <c r="D48" t="str">
        <f t="shared" si="10"/>
        <v/>
      </c>
      <c r="F48" s="2" t="str">
        <f t="shared" si="7"/>
        <v/>
      </c>
      <c r="AC48" s="2" t="str">
        <f t="shared" ref="AC48:AD59" si="11">IF(OR(AC$14="",$E48=""),"",AB48)</f>
        <v/>
      </c>
      <c r="AD48" s="2" t="str">
        <f t="shared" si="11"/>
        <v/>
      </c>
    </row>
    <row r="49" spans="4:30">
      <c r="D49" t="str">
        <f t="shared" si="10"/>
        <v/>
      </c>
      <c r="F49" s="2" t="str">
        <f t="shared" si="7"/>
        <v/>
      </c>
      <c r="AC49" s="2" t="str">
        <f t="shared" si="11"/>
        <v/>
      </c>
      <c r="AD49" s="2" t="str">
        <f t="shared" si="11"/>
        <v/>
      </c>
    </row>
    <row r="50" spans="4:30">
      <c r="D50" t="str">
        <f t="shared" si="10"/>
        <v/>
      </c>
      <c r="F50" s="2" t="str">
        <f t="shared" si="7"/>
        <v/>
      </c>
      <c r="AC50" s="2" t="str">
        <f t="shared" si="11"/>
        <v/>
      </c>
      <c r="AD50" s="2" t="str">
        <f t="shared" si="11"/>
        <v/>
      </c>
    </row>
    <row r="51" spans="4:30">
      <c r="D51" t="str">
        <f t="shared" si="10"/>
        <v/>
      </c>
      <c r="F51" s="2" t="str">
        <f t="shared" si="7"/>
        <v/>
      </c>
      <c r="AC51" s="2" t="str">
        <f t="shared" si="11"/>
        <v/>
      </c>
      <c r="AD51" s="2" t="str">
        <f t="shared" si="11"/>
        <v/>
      </c>
    </row>
    <row r="52" spans="4:30">
      <c r="D52" t="str">
        <f t="shared" si="10"/>
        <v/>
      </c>
      <c r="F52" s="2" t="str">
        <f t="shared" si="7"/>
        <v/>
      </c>
      <c r="AC52" s="2" t="str">
        <f t="shared" si="11"/>
        <v/>
      </c>
      <c r="AD52" s="2" t="str">
        <f t="shared" si="11"/>
        <v/>
      </c>
    </row>
    <row r="53" spans="4:30">
      <c r="D53" t="str">
        <f t="shared" si="10"/>
        <v/>
      </c>
      <c r="F53" s="2" t="str">
        <f t="shared" si="7"/>
        <v/>
      </c>
      <c r="AC53" s="2" t="str">
        <f t="shared" si="11"/>
        <v/>
      </c>
      <c r="AD53" s="2" t="str">
        <f t="shared" si="11"/>
        <v/>
      </c>
    </row>
    <row r="54" spans="4:30">
      <c r="D54" t="str">
        <f t="shared" si="10"/>
        <v/>
      </c>
      <c r="F54" s="2" t="str">
        <f t="shared" si="7"/>
        <v/>
      </c>
      <c r="AC54" s="2" t="str">
        <f t="shared" si="11"/>
        <v/>
      </c>
      <c r="AD54" s="2" t="str">
        <f t="shared" si="11"/>
        <v/>
      </c>
    </row>
    <row r="55" spans="4:30">
      <c r="D55" t="str">
        <f t="shared" si="10"/>
        <v/>
      </c>
      <c r="F55" s="2" t="str">
        <f t="shared" si="7"/>
        <v/>
      </c>
      <c r="AC55" s="2" t="str">
        <f t="shared" si="11"/>
        <v/>
      </c>
      <c r="AD55" s="2" t="str">
        <f t="shared" si="11"/>
        <v/>
      </c>
    </row>
    <row r="56" spans="4:30">
      <c r="D56" t="str">
        <f t="shared" si="10"/>
        <v/>
      </c>
      <c r="F56" s="2" t="str">
        <f t="shared" si="7"/>
        <v/>
      </c>
      <c r="AC56" s="2" t="str">
        <f t="shared" si="11"/>
        <v/>
      </c>
      <c r="AD56" s="2" t="str">
        <f t="shared" si="11"/>
        <v/>
      </c>
    </row>
    <row r="57" spans="4:30">
      <c r="D57" t="str">
        <f t="shared" si="10"/>
        <v/>
      </c>
      <c r="F57" s="2" t="str">
        <f t="shared" si="7"/>
        <v/>
      </c>
      <c r="AC57" s="2" t="str">
        <f t="shared" si="11"/>
        <v/>
      </c>
      <c r="AD57" s="2" t="str">
        <f t="shared" si="11"/>
        <v/>
      </c>
    </row>
    <row r="58" spans="4:30">
      <c r="D58" t="str">
        <f t="shared" si="10"/>
        <v/>
      </c>
      <c r="F58" s="2" t="str">
        <f t="shared" si="7"/>
        <v/>
      </c>
      <c r="G58" s="2" t="str">
        <f t="shared" si="7"/>
        <v/>
      </c>
      <c r="H58" s="2" t="str">
        <f t="shared" si="7"/>
        <v/>
      </c>
      <c r="I58" s="2" t="str">
        <f t="shared" si="7"/>
        <v/>
      </c>
      <c r="J58" s="2" t="str">
        <f t="shared" si="7"/>
        <v/>
      </c>
      <c r="K58" s="2" t="str">
        <f t="shared" si="7"/>
        <v/>
      </c>
      <c r="L58" s="2" t="str">
        <f t="shared" si="7"/>
        <v/>
      </c>
      <c r="M58" s="2" t="str">
        <f t="shared" si="7"/>
        <v/>
      </c>
      <c r="N58" s="2" t="str">
        <f t="shared" si="7"/>
        <v/>
      </c>
      <c r="O58" s="2" t="str">
        <f t="shared" si="7"/>
        <v/>
      </c>
      <c r="P58" s="2" t="str">
        <f t="shared" si="7"/>
        <v/>
      </c>
      <c r="Q58" s="2" t="str">
        <f t="shared" si="7"/>
        <v/>
      </c>
      <c r="R58" s="2" t="str">
        <f t="shared" si="7"/>
        <v/>
      </c>
      <c r="S58" s="2" t="str">
        <f t="shared" si="7"/>
        <v/>
      </c>
      <c r="T58" s="2" t="str">
        <f t="shared" si="7"/>
        <v/>
      </c>
      <c r="U58" s="2" t="str">
        <f t="shared" si="7"/>
        <v/>
      </c>
      <c r="V58" s="2" t="str">
        <f t="shared" ref="V58:AB58" si="12">IF(OR(V$14="",$E58=""),"",U58)</f>
        <v/>
      </c>
      <c r="W58" s="2" t="str">
        <f t="shared" si="12"/>
        <v/>
      </c>
      <c r="X58" s="2" t="str">
        <f t="shared" si="12"/>
        <v/>
      </c>
      <c r="Y58" s="2" t="str">
        <f t="shared" si="12"/>
        <v/>
      </c>
      <c r="Z58" s="2" t="str">
        <f t="shared" si="12"/>
        <v/>
      </c>
      <c r="AA58" s="2" t="str">
        <f t="shared" si="12"/>
        <v/>
      </c>
      <c r="AB58" s="2" t="str">
        <f t="shared" si="12"/>
        <v/>
      </c>
      <c r="AC58" s="2" t="str">
        <f t="shared" si="11"/>
        <v/>
      </c>
      <c r="AD58" s="2" t="str">
        <f t="shared" si="11"/>
        <v/>
      </c>
    </row>
    <row r="59" spans="4:30">
      <c r="D59" t="str">
        <f t="shared" si="10"/>
        <v/>
      </c>
      <c r="F59" s="2" t="str">
        <f t="shared" ref="F59:AB59" si="13">IF(OR(F$14="",$E59=""),"",E59)</f>
        <v/>
      </c>
      <c r="G59" s="2" t="str">
        <f t="shared" si="13"/>
        <v/>
      </c>
      <c r="H59" s="2" t="str">
        <f t="shared" si="13"/>
        <v/>
      </c>
      <c r="I59" s="2" t="str">
        <f t="shared" si="13"/>
        <v/>
      </c>
      <c r="J59" s="2" t="str">
        <f t="shared" si="13"/>
        <v/>
      </c>
      <c r="K59" s="2" t="str">
        <f t="shared" si="13"/>
        <v/>
      </c>
      <c r="L59" s="2" t="str">
        <f t="shared" si="13"/>
        <v/>
      </c>
      <c r="M59" s="2" t="str">
        <f t="shared" si="13"/>
        <v/>
      </c>
      <c r="N59" s="2" t="str">
        <f t="shared" si="13"/>
        <v/>
      </c>
      <c r="O59" s="2" t="str">
        <f t="shared" si="13"/>
        <v/>
      </c>
      <c r="P59" s="2" t="str">
        <f t="shared" si="13"/>
        <v/>
      </c>
      <c r="Q59" s="2" t="str">
        <f t="shared" si="13"/>
        <v/>
      </c>
      <c r="R59" s="2" t="str">
        <f t="shared" si="13"/>
        <v/>
      </c>
      <c r="S59" s="2" t="str">
        <f t="shared" si="13"/>
        <v/>
      </c>
      <c r="T59" s="2" t="str">
        <f t="shared" si="13"/>
        <v/>
      </c>
      <c r="U59" s="2" t="str">
        <f t="shared" si="13"/>
        <v/>
      </c>
      <c r="V59" s="2" t="str">
        <f t="shared" si="13"/>
        <v/>
      </c>
      <c r="W59" s="2" t="str">
        <f t="shared" si="13"/>
        <v/>
      </c>
      <c r="X59" s="2" t="str">
        <f t="shared" si="13"/>
        <v/>
      </c>
      <c r="Y59" s="2" t="str">
        <f t="shared" si="13"/>
        <v/>
      </c>
      <c r="Z59" s="2" t="str">
        <f t="shared" si="13"/>
        <v/>
      </c>
      <c r="AA59" s="2" t="str">
        <f t="shared" si="13"/>
        <v/>
      </c>
      <c r="AB59" s="2" t="str">
        <f t="shared" si="13"/>
        <v/>
      </c>
      <c r="AC59" s="2" t="str">
        <f t="shared" si="11"/>
        <v/>
      </c>
      <c r="AD59" s="2" t="str">
        <f t="shared" si="11"/>
        <v/>
      </c>
    </row>
    <row r="64" spans="4:30">
      <c r="D64" t="str">
        <f>IF(A64&lt;&gt;"","Planned","")</f>
        <v/>
      </c>
    </row>
  </sheetData>
  <conditionalFormatting sqref="A23:AD58 A15:AD19 D20:D35 C20:C22">
    <cfRule type="expression" dxfId="243" priority="9" stopIfTrue="1">
      <formula>$D15="Done"</formula>
    </cfRule>
    <cfRule type="expression" dxfId="242" priority="10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D64"/>
  <sheetViews>
    <sheetView workbookViewId="0">
      <pane ySplit="14" topLeftCell="A15" activePane="bottomLeft" state="frozen"/>
      <selection pane="bottomLeft" activeCell="B24" sqref="B24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3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16.899999999999999</v>
      </c>
      <c r="F10" s="17">
        <f ca="1">IF(AND(SUM(OFFSET(F14,1,0,TaskRows,1))=0),0,SUM(OFFSET(F14,1,0,TaskRows,1)))</f>
        <v>16.899999999999999</v>
      </c>
      <c r="G10" s="17">
        <f t="shared" ref="G10:AD10" ca="1" si="0">IF(AND(SUM(OFFSET(G14,1,0,TaskRows,1))=0),"",SUM(OFFSET(G14,1,0,TaskRows,1)))</f>
        <v>15.9</v>
      </c>
      <c r="H10" s="17">
        <f t="shared" ca="1" si="0"/>
        <v>14.9</v>
      </c>
      <c r="I10" s="17">
        <f t="shared" ca="1" si="0"/>
        <v>13</v>
      </c>
      <c r="J10" s="17">
        <f t="shared" ca="1" si="0"/>
        <v>9</v>
      </c>
      <c r="K10" s="17">
        <f t="shared" ca="1" si="0"/>
        <v>8</v>
      </c>
      <c r="L10" s="17">
        <f t="shared" ca="1" si="0"/>
        <v>7.5</v>
      </c>
      <c r="M10" s="17">
        <f t="shared" ca="1" si="0"/>
        <v>5.2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10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16.899999999999999</v>
      </c>
      <c r="G11" s="2">
        <f t="shared" ref="G11:AD11" ca="1" si="1">IF(G14="","",TotalEffort-TotalEffort/(ImplementationDays)*(G14-1))</f>
        <v>14.787499999999998</v>
      </c>
      <c r="H11" s="2">
        <f t="shared" ca="1" si="1"/>
        <v>12.674999999999999</v>
      </c>
      <c r="I11" s="2">
        <f t="shared" ca="1" si="1"/>
        <v>10.5625</v>
      </c>
      <c r="J11" s="2">
        <f t="shared" ca="1" si="1"/>
        <v>8.4499999999999993</v>
      </c>
      <c r="K11" s="2">
        <f t="shared" ca="1" si="1"/>
        <v>6.3374999999999986</v>
      </c>
      <c r="L11" s="2">
        <f t="shared" ca="1" si="1"/>
        <v>4.2249999999999996</v>
      </c>
      <c r="M11" s="2">
        <f t="shared" ca="1" si="1"/>
        <v>2.1125000000000007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17.089999999999996</v>
      </c>
      <c r="G12" s="2">
        <f t="shared" ca="1" si="2"/>
        <v>15.379999999999999</v>
      </c>
      <c r="H12" s="2">
        <f t="shared" ca="1" si="2"/>
        <v>13.67</v>
      </c>
      <c r="I12" s="2">
        <f t="shared" ca="1" si="2"/>
        <v>11.96</v>
      </c>
      <c r="J12" s="2">
        <f t="shared" ca="1" si="2"/>
        <v>10.250000000000002</v>
      </c>
      <c r="K12" s="2">
        <f t="shared" ca="1" si="2"/>
        <v>8.5400000000000027</v>
      </c>
      <c r="L12" s="2">
        <f t="shared" ca="1" si="2"/>
        <v>6.8300000000000036</v>
      </c>
      <c r="M12" s="2">
        <f t="shared" ca="1" si="2"/>
        <v>5.1200000000000045</v>
      </c>
      <c r="N12" s="2">
        <f t="shared" ca="1" si="2"/>
        <v>3.4100000000000055</v>
      </c>
      <c r="O12" s="2">
        <f t="shared" ca="1" si="2"/>
        <v>1.7000000000000064</v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117</v>
      </c>
      <c r="B15" s="2">
        <v>2</v>
      </c>
      <c r="C15" s="103" t="s">
        <v>98</v>
      </c>
      <c r="D15" t="s">
        <v>76</v>
      </c>
      <c r="E15" s="2">
        <v>1.5</v>
      </c>
      <c r="F15" s="2">
        <f t="shared" ref="F15:U59" si="4">IF(OR(F$14="",$E15=""),"",E15)</f>
        <v>1.5</v>
      </c>
      <c r="G15" s="2">
        <v>1.5</v>
      </c>
      <c r="H15" s="2">
        <v>1.5</v>
      </c>
      <c r="I15" s="2">
        <v>1</v>
      </c>
      <c r="J15" s="2">
        <v>1</v>
      </c>
      <c r="K15" s="2">
        <v>1</v>
      </c>
      <c r="L15" s="2">
        <v>1</v>
      </c>
      <c r="M15" s="2">
        <v>1</v>
      </c>
    </row>
    <row r="16" spans="1:30">
      <c r="A16" s="103" t="s">
        <v>131</v>
      </c>
      <c r="B16" s="2">
        <v>6</v>
      </c>
      <c r="C16" s="103" t="s">
        <v>98</v>
      </c>
      <c r="D16" t="s">
        <v>75</v>
      </c>
      <c r="E16" s="2">
        <v>1</v>
      </c>
      <c r="F16" s="2">
        <f t="shared" si="4"/>
        <v>1</v>
      </c>
      <c r="G16" s="2">
        <v>1</v>
      </c>
      <c r="H16" s="2">
        <v>0</v>
      </c>
      <c r="AC16" s="2" t="str">
        <f t="shared" ref="AC16:AD35" si="5">IF(OR(AC$14="",$E16=""),"",AB16)</f>
        <v/>
      </c>
      <c r="AD16" s="2" t="str">
        <f t="shared" si="5"/>
        <v/>
      </c>
    </row>
    <row r="17" spans="1:30" ht="25.5">
      <c r="A17" s="106" t="s">
        <v>128</v>
      </c>
      <c r="B17" s="2">
        <v>5</v>
      </c>
      <c r="C17" s="103" t="s">
        <v>98</v>
      </c>
      <c r="D17" t="s">
        <v>75</v>
      </c>
      <c r="E17" s="2">
        <v>0.2</v>
      </c>
      <c r="F17" s="2">
        <f t="shared" si="4"/>
        <v>0.2</v>
      </c>
      <c r="G17" s="2">
        <v>0.2</v>
      </c>
      <c r="H17" s="2">
        <v>0.2</v>
      </c>
      <c r="I17" s="2">
        <v>0</v>
      </c>
      <c r="AC17" s="2" t="str">
        <f t="shared" si="5"/>
        <v/>
      </c>
      <c r="AD17" s="2" t="str">
        <f t="shared" si="5"/>
        <v/>
      </c>
    </row>
    <row r="18" spans="1:30">
      <c r="A18" s="103" t="s">
        <v>120</v>
      </c>
      <c r="B18" s="2">
        <v>5</v>
      </c>
      <c r="C18" s="103" t="s">
        <v>98</v>
      </c>
      <c r="D18" t="s">
        <v>75</v>
      </c>
      <c r="E18" s="2">
        <v>0.2</v>
      </c>
      <c r="F18" s="2">
        <f t="shared" si="4"/>
        <v>0.2</v>
      </c>
      <c r="G18" s="2">
        <v>0.2</v>
      </c>
      <c r="H18" s="2">
        <v>0.2</v>
      </c>
      <c r="I18" s="2">
        <v>0</v>
      </c>
      <c r="AC18" s="2" t="str">
        <f t="shared" si="5"/>
        <v/>
      </c>
      <c r="AD18" s="2" t="str">
        <f t="shared" si="5"/>
        <v/>
      </c>
    </row>
    <row r="19" spans="1:30">
      <c r="A19" s="103" t="s">
        <v>121</v>
      </c>
      <c r="B19" s="2">
        <v>7</v>
      </c>
      <c r="C19" s="103" t="s">
        <v>122</v>
      </c>
      <c r="D19" t="s">
        <v>76</v>
      </c>
      <c r="E19" s="2">
        <v>5</v>
      </c>
      <c r="F19" s="2">
        <f t="shared" si="4"/>
        <v>5</v>
      </c>
      <c r="G19" s="2">
        <v>5</v>
      </c>
      <c r="H19" s="2">
        <v>5</v>
      </c>
      <c r="I19" s="2">
        <v>5</v>
      </c>
      <c r="J19" s="2">
        <v>5</v>
      </c>
      <c r="K19" s="2">
        <v>4</v>
      </c>
      <c r="L19" s="2">
        <v>4</v>
      </c>
      <c r="M19" s="2">
        <v>3</v>
      </c>
      <c r="AC19" s="2" t="str">
        <f t="shared" si="5"/>
        <v/>
      </c>
      <c r="AD19" s="2" t="str">
        <f t="shared" si="5"/>
        <v/>
      </c>
    </row>
    <row r="20" spans="1:30">
      <c r="A20" s="103" t="s">
        <v>126</v>
      </c>
      <c r="B20" s="2">
        <v>5</v>
      </c>
      <c r="C20" s="103" t="s">
        <v>98</v>
      </c>
      <c r="D20" t="s">
        <v>75</v>
      </c>
      <c r="E20" s="2">
        <v>1</v>
      </c>
      <c r="F20" s="2">
        <f t="shared" si="4"/>
        <v>1</v>
      </c>
      <c r="G20" s="2">
        <v>1</v>
      </c>
      <c r="H20" s="2">
        <v>1</v>
      </c>
      <c r="I20" s="2">
        <v>0.5</v>
      </c>
      <c r="J20" s="2">
        <v>0</v>
      </c>
      <c r="AC20" s="2" t="str">
        <f t="shared" si="5"/>
        <v/>
      </c>
      <c r="AD20" s="2" t="str">
        <f t="shared" si="5"/>
        <v/>
      </c>
    </row>
    <row r="21" spans="1:30">
      <c r="A21" s="103" t="s">
        <v>132</v>
      </c>
      <c r="B21" s="2">
        <v>5</v>
      </c>
      <c r="C21" s="103" t="s">
        <v>98</v>
      </c>
      <c r="D21" t="s">
        <v>75</v>
      </c>
      <c r="E21" s="2">
        <v>1</v>
      </c>
      <c r="F21" s="2">
        <f t="shared" si="4"/>
        <v>1</v>
      </c>
      <c r="G21" s="2">
        <v>1</v>
      </c>
      <c r="H21" s="2">
        <v>1</v>
      </c>
      <c r="I21" s="2">
        <v>0.5</v>
      </c>
      <c r="J21" s="2">
        <v>0</v>
      </c>
      <c r="AC21" s="2" t="str">
        <f t="shared" si="5"/>
        <v/>
      </c>
      <c r="AD21" s="2" t="str">
        <f t="shared" si="5"/>
        <v/>
      </c>
    </row>
    <row r="22" spans="1:30">
      <c r="A22" s="103" t="s">
        <v>133</v>
      </c>
      <c r="B22" s="2">
        <v>5</v>
      </c>
      <c r="C22" s="103" t="s">
        <v>134</v>
      </c>
      <c r="D22" t="s">
        <v>75</v>
      </c>
      <c r="E22" s="2">
        <v>3</v>
      </c>
      <c r="F22" s="2">
        <f t="shared" si="4"/>
        <v>3</v>
      </c>
      <c r="G22" s="2">
        <v>2</v>
      </c>
      <c r="H22" s="2">
        <v>2</v>
      </c>
      <c r="I22" s="2">
        <v>2</v>
      </c>
      <c r="J22" s="2">
        <v>1</v>
      </c>
      <c r="K22" s="2">
        <v>1</v>
      </c>
      <c r="L22" s="2">
        <v>0.5</v>
      </c>
      <c r="M22" s="2">
        <v>0</v>
      </c>
      <c r="AC22" s="2" t="str">
        <f t="shared" si="5"/>
        <v/>
      </c>
      <c r="AD22" s="2" t="str">
        <f t="shared" si="5"/>
        <v/>
      </c>
    </row>
    <row r="23" spans="1:30">
      <c r="A23" s="103" t="s">
        <v>135</v>
      </c>
      <c r="B23" s="2">
        <v>5</v>
      </c>
      <c r="C23" s="103" t="s">
        <v>98</v>
      </c>
      <c r="D23" t="s">
        <v>76</v>
      </c>
      <c r="E23" s="2">
        <v>2</v>
      </c>
      <c r="F23" s="2">
        <f t="shared" si="4"/>
        <v>2</v>
      </c>
      <c r="G23" s="2">
        <v>2</v>
      </c>
      <c r="H23" s="2">
        <v>2</v>
      </c>
      <c r="I23" s="2">
        <v>2</v>
      </c>
      <c r="J23" s="2">
        <v>1</v>
      </c>
      <c r="K23" s="2">
        <v>1</v>
      </c>
      <c r="L23" s="2">
        <v>1</v>
      </c>
      <c r="M23" s="2">
        <v>1</v>
      </c>
      <c r="AC23" s="2" t="str">
        <f t="shared" si="5"/>
        <v/>
      </c>
      <c r="AD23" s="2" t="str">
        <f t="shared" si="5"/>
        <v/>
      </c>
    </row>
    <row r="24" spans="1:30">
      <c r="A24" s="103" t="s">
        <v>136</v>
      </c>
      <c r="B24" s="2">
        <v>5</v>
      </c>
      <c r="C24" s="103" t="s">
        <v>98</v>
      </c>
      <c r="D24" t="s">
        <v>76</v>
      </c>
      <c r="E24" s="2">
        <v>2</v>
      </c>
      <c r="F24" s="2">
        <f t="shared" si="4"/>
        <v>2</v>
      </c>
      <c r="G24" s="2">
        <v>2</v>
      </c>
      <c r="H24" s="2">
        <v>2</v>
      </c>
      <c r="I24" s="2">
        <v>2</v>
      </c>
      <c r="J24" s="2">
        <v>1</v>
      </c>
      <c r="K24" s="2">
        <v>1</v>
      </c>
      <c r="L24" s="2">
        <v>1</v>
      </c>
      <c r="M24" s="2">
        <v>0.2</v>
      </c>
      <c r="AC24" s="2" t="str">
        <f t="shared" si="5"/>
        <v/>
      </c>
      <c r="AD24" s="2" t="str">
        <f t="shared" si="5"/>
        <v/>
      </c>
    </row>
    <row r="25" spans="1:30">
      <c r="D25" t="str">
        <f t="shared" ref="D25:D59" si="6">IF(A25&lt;&gt;"","Planned","")</f>
        <v/>
      </c>
      <c r="F25" s="2" t="str">
        <f t="shared" si="4"/>
        <v/>
      </c>
      <c r="AC25" s="2" t="str">
        <f t="shared" si="5"/>
        <v/>
      </c>
      <c r="AD25" s="2" t="str">
        <f t="shared" si="5"/>
        <v/>
      </c>
    </row>
    <row r="26" spans="1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J15:AD18 B19:AD58 A20:A58">
    <cfRule type="expression" dxfId="241" priority="9" stopIfTrue="1">
      <formula>$D15="Done"</formula>
    </cfRule>
    <cfRule type="expression" dxfId="240" priority="10" stopIfTrue="1">
      <formula>$D15="Ongoing"</formula>
    </cfRule>
  </conditionalFormatting>
  <conditionalFormatting sqref="B15:I18 A15:A17">
    <cfRule type="expression" dxfId="239" priority="7" stopIfTrue="1">
      <formula>$D15="Done"</formula>
    </cfRule>
    <cfRule type="expression" dxfId="238" priority="8" stopIfTrue="1">
      <formula>$D15="Ongoing"</formula>
    </cfRule>
  </conditionalFormatting>
  <conditionalFormatting sqref="A15">
    <cfRule type="expression" dxfId="237" priority="5" stopIfTrue="1">
      <formula>$D15="Done"</formula>
    </cfRule>
    <cfRule type="expression" dxfId="236" priority="6" stopIfTrue="1">
      <formula>$D15="Ongoing"</formula>
    </cfRule>
  </conditionalFormatting>
  <conditionalFormatting sqref="A17">
    <cfRule type="expression" dxfId="235" priority="3" stopIfTrue="1">
      <formula>$D17="Done"</formula>
    </cfRule>
    <cfRule type="expression" dxfId="234" priority="4" stopIfTrue="1">
      <formula>$D17="Ongoing"</formula>
    </cfRule>
  </conditionalFormatting>
  <conditionalFormatting sqref="A20">
    <cfRule type="expression" dxfId="233" priority="1" stopIfTrue="1">
      <formula>$D20="Done"</formula>
    </cfRule>
    <cfRule type="expression" dxfId="232" priority="2" stopIfTrue="1">
      <formula>$D20="Ongoing"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AD58"/>
  <sheetViews>
    <sheetView workbookViewId="0">
      <pane ySplit="14" topLeftCell="A39" activePane="bottomLeft" state="frozen"/>
      <selection pane="bottomLeft" activeCell="B58" sqref="B58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4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37.400000000000013</v>
      </c>
      <c r="F10" s="17">
        <f ca="1">IF(AND(SUM(OFFSET(F14,1,0,TaskRows,1))=0),0,SUM(OFFSET(F14,1,0,TaskRows,1)))</f>
        <v>35.900000000000013</v>
      </c>
      <c r="G10" s="17">
        <f t="shared" ref="G10:AD10" ca="1" si="0">IF(AND(SUM(OFFSET(G14,1,0,TaskRows,1))=0),"",SUM(OFFSET(G14,1,0,TaskRows,1)))</f>
        <v>29.400000000000006</v>
      </c>
      <c r="H10" s="17">
        <f t="shared" ca="1" si="0"/>
        <v>26.900000000000006</v>
      </c>
      <c r="I10" s="17">
        <f t="shared" ca="1" si="0"/>
        <v>24.300000000000004</v>
      </c>
      <c r="J10" s="17">
        <f t="shared" ca="1" si="0"/>
        <v>20.3</v>
      </c>
      <c r="K10" s="17">
        <f t="shared" ca="1" si="0"/>
        <v>16.600000000000001</v>
      </c>
      <c r="L10" s="17">
        <f t="shared" ca="1" si="0"/>
        <v>14.499999999999998</v>
      </c>
      <c r="M10" s="17">
        <f t="shared" ca="1" si="0"/>
        <v>13.099999999999998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IF(COUNTA(A15:A235)=0,1,COUNTA(A15:A235))</f>
        <v>44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37.400000000000013</v>
      </c>
      <c r="G11" s="2">
        <f t="shared" ref="G11:AD11" ca="1" si="1">IF(G14="","",TotalEffort-TotalEffort/(ImplementationDays)*(G14-1))</f>
        <v>32.725000000000009</v>
      </c>
      <c r="H11" s="2">
        <f t="shared" ca="1" si="1"/>
        <v>28.050000000000011</v>
      </c>
      <c r="I11" s="2">
        <f t="shared" ca="1" si="1"/>
        <v>23.375000000000007</v>
      </c>
      <c r="J11" s="2">
        <f t="shared" ca="1" si="1"/>
        <v>18.700000000000006</v>
      </c>
      <c r="K11" s="2">
        <f t="shared" ca="1" si="1"/>
        <v>14.025000000000006</v>
      </c>
      <c r="L11" s="2">
        <f t="shared" ca="1" si="1"/>
        <v>9.3500000000000014</v>
      </c>
      <c r="M11" s="2">
        <f t="shared" ca="1" si="1"/>
        <v>4.6750000000000043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31.859999999999992</v>
      </c>
      <c r="G12" s="2">
        <f t="shared" ca="1" si="2"/>
        <v>29.039999999999992</v>
      </c>
      <c r="H12" s="2">
        <f t="shared" ca="1" si="2"/>
        <v>26.219999999999992</v>
      </c>
      <c r="I12" s="2">
        <f t="shared" ca="1" si="2"/>
        <v>23.399999999999991</v>
      </c>
      <c r="J12" s="2">
        <f t="shared" ca="1" si="2"/>
        <v>20.579999999999991</v>
      </c>
      <c r="K12" s="2">
        <f t="shared" ca="1" si="2"/>
        <v>17.759999999999994</v>
      </c>
      <c r="L12" s="2">
        <f t="shared" ca="1" si="2"/>
        <v>14.939999999999994</v>
      </c>
      <c r="M12" s="2">
        <f t="shared" ca="1" si="2"/>
        <v>12.119999999999994</v>
      </c>
      <c r="N12" s="2">
        <f t="shared" ca="1" si="2"/>
        <v>9.2999999999999936</v>
      </c>
      <c r="O12" s="2">
        <f t="shared" ca="1" si="2"/>
        <v>6.4799999999999933</v>
      </c>
      <c r="P12" s="2">
        <f t="shared" ca="1" si="2"/>
        <v>3.659999999999993</v>
      </c>
      <c r="Q12" s="2">
        <f t="shared" ca="1" si="2"/>
        <v>0.83999999999999631</v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117</v>
      </c>
      <c r="B15" s="2">
        <v>2</v>
      </c>
      <c r="C15" s="103" t="s">
        <v>98</v>
      </c>
      <c r="D15" t="s">
        <v>75</v>
      </c>
      <c r="E15" s="2">
        <v>1</v>
      </c>
      <c r="F15" s="2">
        <f t="shared" ref="F15:U58" si="4">IF(OR(F$14="",$E15=""),"",E15)</f>
        <v>1</v>
      </c>
      <c r="G15" s="2">
        <v>0</v>
      </c>
    </row>
    <row r="16" spans="1:30">
      <c r="A16" s="107" t="s">
        <v>121</v>
      </c>
      <c r="B16" s="2">
        <v>4</v>
      </c>
      <c r="C16" s="103" t="s">
        <v>98</v>
      </c>
      <c r="D16" t="s">
        <v>19</v>
      </c>
      <c r="E16" s="2">
        <v>3</v>
      </c>
      <c r="F16" s="2">
        <f t="shared" si="4"/>
        <v>3</v>
      </c>
      <c r="G16" s="2">
        <v>3</v>
      </c>
      <c r="H16" s="2">
        <v>3</v>
      </c>
      <c r="I16" s="2">
        <v>3</v>
      </c>
      <c r="J16" s="2">
        <v>3</v>
      </c>
      <c r="K16" s="2">
        <v>3</v>
      </c>
      <c r="L16" s="2">
        <v>3</v>
      </c>
      <c r="M16" s="2">
        <v>3</v>
      </c>
      <c r="AC16" s="2" t="str">
        <f t="shared" ref="AC16:AD33" si="5">IF(OR(AC$14="",$E16=""),"",AB16)</f>
        <v/>
      </c>
      <c r="AD16" s="2" t="str">
        <f t="shared" si="5"/>
        <v/>
      </c>
    </row>
    <row r="17" spans="1:30">
      <c r="A17" s="103" t="s">
        <v>135</v>
      </c>
      <c r="B17" s="2">
        <v>6</v>
      </c>
      <c r="C17" s="103" t="s">
        <v>134</v>
      </c>
      <c r="D17" t="s">
        <v>75</v>
      </c>
      <c r="E17" s="2">
        <v>1</v>
      </c>
      <c r="F17" s="2">
        <f t="shared" si="4"/>
        <v>1</v>
      </c>
      <c r="G17" s="2">
        <v>0.5</v>
      </c>
      <c r="H17" s="2">
        <v>0</v>
      </c>
      <c r="AC17" s="2" t="str">
        <f t="shared" si="5"/>
        <v/>
      </c>
      <c r="AD17" s="2" t="str">
        <f t="shared" si="5"/>
        <v/>
      </c>
    </row>
    <row r="18" spans="1:30">
      <c r="A18" s="103" t="s">
        <v>136</v>
      </c>
      <c r="B18" s="2">
        <v>6</v>
      </c>
      <c r="C18" s="103" t="s">
        <v>137</v>
      </c>
      <c r="D18" t="s">
        <v>76</v>
      </c>
      <c r="E18" s="2">
        <v>0.2</v>
      </c>
      <c r="F18" s="2">
        <f t="shared" si="4"/>
        <v>0.2</v>
      </c>
      <c r="G18" s="2">
        <v>0.2</v>
      </c>
      <c r="H18" s="2">
        <v>0.2</v>
      </c>
      <c r="I18" s="2">
        <v>0.2</v>
      </c>
      <c r="J18" s="2">
        <v>0.2</v>
      </c>
      <c r="K18" s="2">
        <v>0.2</v>
      </c>
      <c r="L18" s="2">
        <v>0.2</v>
      </c>
      <c r="M18" s="2">
        <v>0.2</v>
      </c>
      <c r="AC18" s="2" t="str">
        <f t="shared" si="5"/>
        <v/>
      </c>
      <c r="AD18" s="2" t="str">
        <f t="shared" si="5"/>
        <v/>
      </c>
    </row>
    <row r="19" spans="1:30">
      <c r="A19" s="103" t="s">
        <v>138</v>
      </c>
      <c r="B19" s="2">
        <v>6</v>
      </c>
      <c r="C19" s="103" t="s">
        <v>130</v>
      </c>
      <c r="D19" t="s">
        <v>75</v>
      </c>
      <c r="E19" s="2">
        <v>2</v>
      </c>
      <c r="F19" s="2">
        <f t="shared" si="4"/>
        <v>2</v>
      </c>
      <c r="G19" s="2">
        <v>2</v>
      </c>
      <c r="H19" s="2">
        <v>2</v>
      </c>
      <c r="I19" s="2">
        <v>2</v>
      </c>
      <c r="J19" s="2">
        <v>1</v>
      </c>
      <c r="K19" s="2">
        <v>0</v>
      </c>
      <c r="AC19" s="2" t="str">
        <f t="shared" si="5"/>
        <v/>
      </c>
      <c r="AD19" s="2" t="str">
        <f t="shared" si="5"/>
        <v/>
      </c>
    </row>
    <row r="20" spans="1:30">
      <c r="A20" s="103" t="s">
        <v>139</v>
      </c>
      <c r="B20" s="2">
        <v>6</v>
      </c>
      <c r="C20" s="103" t="s">
        <v>130</v>
      </c>
      <c r="D20" t="s">
        <v>75</v>
      </c>
      <c r="E20" s="2">
        <v>2</v>
      </c>
      <c r="F20" s="2">
        <f t="shared" si="4"/>
        <v>2</v>
      </c>
      <c r="G20" s="2">
        <v>1</v>
      </c>
      <c r="H20" s="2">
        <v>0</v>
      </c>
      <c r="AC20" s="2" t="str">
        <f t="shared" si="5"/>
        <v/>
      </c>
      <c r="AD20" s="2" t="str">
        <f t="shared" si="5"/>
        <v/>
      </c>
    </row>
    <row r="21" spans="1:30">
      <c r="A21" s="103" t="s">
        <v>140</v>
      </c>
      <c r="B21" s="2">
        <v>6</v>
      </c>
      <c r="C21" s="103" t="s">
        <v>98</v>
      </c>
      <c r="D21" t="s">
        <v>75</v>
      </c>
      <c r="E21" s="2">
        <v>0.5</v>
      </c>
      <c r="F21" s="2">
        <f t="shared" si="4"/>
        <v>0.5</v>
      </c>
      <c r="G21" s="2">
        <v>0.5</v>
      </c>
      <c r="H21" s="2">
        <v>0.5</v>
      </c>
      <c r="I21" s="2">
        <v>0</v>
      </c>
      <c r="AC21" s="2" t="str">
        <f t="shared" si="5"/>
        <v/>
      </c>
      <c r="AD21" s="2" t="str">
        <f t="shared" si="5"/>
        <v/>
      </c>
    </row>
    <row r="22" spans="1:30">
      <c r="A22" s="103" t="s">
        <v>141</v>
      </c>
      <c r="B22" s="2">
        <v>6</v>
      </c>
      <c r="C22" s="103" t="s">
        <v>98</v>
      </c>
      <c r="D22" t="s">
        <v>75</v>
      </c>
      <c r="E22" s="2">
        <v>0.5</v>
      </c>
      <c r="F22" s="2">
        <v>0</v>
      </c>
      <c r="AC22" s="2" t="str">
        <f t="shared" si="5"/>
        <v/>
      </c>
      <c r="AD22" s="2" t="str">
        <f t="shared" si="5"/>
        <v/>
      </c>
    </row>
    <row r="23" spans="1:30">
      <c r="A23" s="103" t="s">
        <v>142</v>
      </c>
      <c r="B23" s="2">
        <v>6</v>
      </c>
      <c r="C23" s="103" t="s">
        <v>98</v>
      </c>
      <c r="D23" t="s">
        <v>75</v>
      </c>
      <c r="E23" s="2">
        <v>0.2</v>
      </c>
      <c r="F23" s="2">
        <f t="shared" si="4"/>
        <v>0.2</v>
      </c>
      <c r="G23" s="2">
        <v>0.2</v>
      </c>
      <c r="H23" s="2">
        <v>0.2</v>
      </c>
      <c r="I23" s="2">
        <v>0.2</v>
      </c>
      <c r="J23" s="2">
        <v>0</v>
      </c>
      <c r="AC23" s="2" t="str">
        <f t="shared" si="5"/>
        <v/>
      </c>
      <c r="AD23" s="2" t="str">
        <f t="shared" si="5"/>
        <v/>
      </c>
    </row>
    <row r="24" spans="1:30">
      <c r="A24" s="103" t="s">
        <v>143</v>
      </c>
      <c r="B24" s="2">
        <v>6</v>
      </c>
      <c r="C24" s="103" t="s">
        <v>98</v>
      </c>
      <c r="D24" t="s">
        <v>75</v>
      </c>
      <c r="E24" s="2">
        <v>1</v>
      </c>
      <c r="F24" s="2">
        <f t="shared" si="4"/>
        <v>1</v>
      </c>
      <c r="G24" s="2">
        <v>0</v>
      </c>
      <c r="AC24" s="2" t="str">
        <f t="shared" si="5"/>
        <v/>
      </c>
      <c r="AD24" s="2" t="str">
        <f t="shared" si="5"/>
        <v/>
      </c>
    </row>
    <row r="25" spans="1:30">
      <c r="A25" s="103" t="s">
        <v>144</v>
      </c>
      <c r="B25" s="2">
        <v>6</v>
      </c>
      <c r="C25" s="103" t="s">
        <v>145</v>
      </c>
      <c r="D25" t="s">
        <v>75</v>
      </c>
      <c r="E25" s="2">
        <v>6</v>
      </c>
      <c r="F25" s="2">
        <f t="shared" si="4"/>
        <v>6</v>
      </c>
      <c r="G25" s="2">
        <v>6</v>
      </c>
      <c r="H25" s="2">
        <v>5</v>
      </c>
      <c r="I25" s="2">
        <v>5</v>
      </c>
      <c r="J25" s="2">
        <v>4</v>
      </c>
      <c r="K25" s="2">
        <v>3</v>
      </c>
      <c r="L25" s="2">
        <v>1</v>
      </c>
      <c r="M25" s="2">
        <v>0</v>
      </c>
      <c r="AC25" s="2" t="str">
        <f t="shared" si="5"/>
        <v/>
      </c>
      <c r="AD25" s="2" t="str">
        <f t="shared" si="5"/>
        <v/>
      </c>
    </row>
    <row r="26" spans="1:30">
      <c r="A26" s="103" t="s">
        <v>146</v>
      </c>
      <c r="B26" s="2">
        <v>9</v>
      </c>
      <c r="C26" s="103" t="s">
        <v>134</v>
      </c>
      <c r="D26" t="str">
        <f t="shared" ref="D26:D56" si="6">IF(A26&lt;&gt;"","Planned","")</f>
        <v>Planned</v>
      </c>
      <c r="E26" s="2">
        <v>5</v>
      </c>
      <c r="F26" s="2">
        <f t="shared" si="4"/>
        <v>5</v>
      </c>
      <c r="G26" s="2">
        <v>5</v>
      </c>
      <c r="H26" s="2">
        <v>5</v>
      </c>
      <c r="I26" s="2">
        <v>5</v>
      </c>
      <c r="J26" s="2">
        <v>5</v>
      </c>
      <c r="K26" s="2">
        <v>5</v>
      </c>
      <c r="L26" s="2">
        <v>5</v>
      </c>
      <c r="M26" s="2">
        <v>5</v>
      </c>
      <c r="AC26" s="2" t="str">
        <f t="shared" si="5"/>
        <v/>
      </c>
      <c r="AD26" s="2" t="str">
        <f t="shared" si="5"/>
        <v/>
      </c>
    </row>
    <row r="27" spans="1:30">
      <c r="A27" s="103" t="s">
        <v>147</v>
      </c>
      <c r="B27" s="2">
        <v>6</v>
      </c>
      <c r="C27" s="103" t="s">
        <v>148</v>
      </c>
      <c r="D27" t="s">
        <v>75</v>
      </c>
      <c r="E27" s="2">
        <v>1</v>
      </c>
      <c r="F27" s="2">
        <f t="shared" si="4"/>
        <v>1</v>
      </c>
      <c r="G27" s="2">
        <v>0</v>
      </c>
      <c r="AC27" s="2" t="str">
        <f t="shared" si="5"/>
        <v/>
      </c>
      <c r="AD27" s="2" t="str">
        <f t="shared" si="5"/>
        <v/>
      </c>
    </row>
    <row r="28" spans="1:30">
      <c r="A28" s="103" t="s">
        <v>149</v>
      </c>
      <c r="B28" s="2">
        <v>6</v>
      </c>
      <c r="C28" s="103" t="s">
        <v>98</v>
      </c>
      <c r="D28" t="s">
        <v>19</v>
      </c>
      <c r="E28" s="2">
        <v>0.5</v>
      </c>
      <c r="F28" s="2">
        <f t="shared" si="4"/>
        <v>0.5</v>
      </c>
      <c r="G28" s="2">
        <v>0.5</v>
      </c>
      <c r="H28" s="2">
        <v>0.5</v>
      </c>
      <c r="I28" s="2">
        <v>0.5</v>
      </c>
      <c r="J28" s="2">
        <v>0.5</v>
      </c>
      <c r="K28" s="2">
        <v>0.5</v>
      </c>
      <c r="L28" s="2">
        <v>0.5</v>
      </c>
      <c r="M28" s="2">
        <v>0.5</v>
      </c>
      <c r="AC28" s="2" t="str">
        <f t="shared" si="5"/>
        <v/>
      </c>
      <c r="AD28" s="2" t="str">
        <f t="shared" si="5"/>
        <v/>
      </c>
    </row>
    <row r="29" spans="1:30">
      <c r="A29" s="109" t="s">
        <v>171</v>
      </c>
      <c r="B29" s="2">
        <v>6</v>
      </c>
      <c r="C29" s="103" t="s">
        <v>145</v>
      </c>
      <c r="D29" t="s">
        <v>76</v>
      </c>
      <c r="E29" s="2">
        <v>1</v>
      </c>
      <c r="F29" s="2">
        <f t="shared" si="4"/>
        <v>1</v>
      </c>
      <c r="G29" s="2">
        <v>1</v>
      </c>
      <c r="H29" s="2">
        <v>1</v>
      </c>
      <c r="I29" s="2">
        <v>1</v>
      </c>
      <c r="J29" s="2">
        <v>0.3</v>
      </c>
      <c r="K29" s="2">
        <v>0.3</v>
      </c>
      <c r="L29" s="2">
        <v>0.3</v>
      </c>
      <c r="M29" s="2">
        <v>0.3</v>
      </c>
      <c r="AC29" s="2" t="str">
        <f t="shared" si="5"/>
        <v/>
      </c>
      <c r="AD29" s="2" t="str">
        <f t="shared" si="5"/>
        <v/>
      </c>
    </row>
    <row r="30" spans="1:30">
      <c r="A30" s="108" t="s">
        <v>150</v>
      </c>
      <c r="B30" s="2">
        <v>6</v>
      </c>
      <c r="C30" s="103" t="s">
        <v>134</v>
      </c>
      <c r="D30" t="s">
        <v>75</v>
      </c>
      <c r="E30" s="2">
        <v>2</v>
      </c>
      <c r="F30" s="2">
        <v>1</v>
      </c>
      <c r="G30" s="2">
        <v>0</v>
      </c>
      <c r="AC30" s="2" t="str">
        <f t="shared" si="5"/>
        <v/>
      </c>
      <c r="AD30" s="2" t="str">
        <f t="shared" si="5"/>
        <v/>
      </c>
    </row>
    <row r="31" spans="1:30">
      <c r="A31" s="108" t="s">
        <v>151</v>
      </c>
      <c r="B31" s="2">
        <v>6</v>
      </c>
      <c r="C31" s="103" t="s">
        <v>134</v>
      </c>
      <c r="D31" t="s">
        <v>75</v>
      </c>
      <c r="E31" s="2">
        <v>0.5</v>
      </c>
      <c r="F31" s="2">
        <f t="shared" si="4"/>
        <v>0.5</v>
      </c>
      <c r="G31" s="2">
        <v>0</v>
      </c>
      <c r="AC31" s="2" t="str">
        <f t="shared" si="5"/>
        <v/>
      </c>
      <c r="AD31" s="2" t="str">
        <f t="shared" si="5"/>
        <v/>
      </c>
    </row>
    <row r="32" spans="1:30">
      <c r="A32" s="108" t="s">
        <v>152</v>
      </c>
      <c r="B32" s="2">
        <v>6</v>
      </c>
      <c r="C32" s="103" t="s">
        <v>134</v>
      </c>
      <c r="D32" t="s">
        <v>75</v>
      </c>
      <c r="E32" s="2">
        <v>1</v>
      </c>
      <c r="F32" s="2">
        <f t="shared" si="4"/>
        <v>1</v>
      </c>
      <c r="G32" s="2">
        <v>1</v>
      </c>
      <c r="H32" s="2">
        <v>1</v>
      </c>
      <c r="I32" s="2">
        <v>0</v>
      </c>
      <c r="AC32" s="2" t="str">
        <f t="shared" si="5"/>
        <v/>
      </c>
      <c r="AD32" s="2" t="str">
        <f t="shared" si="5"/>
        <v/>
      </c>
    </row>
    <row r="33" spans="1:30">
      <c r="A33" s="108" t="s">
        <v>153</v>
      </c>
      <c r="B33" s="2">
        <v>6</v>
      </c>
      <c r="C33" s="103" t="s">
        <v>98</v>
      </c>
      <c r="D33" t="s">
        <v>75</v>
      </c>
      <c r="E33" s="2">
        <v>0.5</v>
      </c>
      <c r="F33" s="2">
        <f t="shared" si="4"/>
        <v>0.5</v>
      </c>
      <c r="G33" s="2">
        <v>0</v>
      </c>
      <c r="AC33" s="2" t="str">
        <f t="shared" si="5"/>
        <v/>
      </c>
      <c r="AD33" s="2" t="str">
        <f t="shared" si="5"/>
        <v/>
      </c>
    </row>
    <row r="34" spans="1:30">
      <c r="A34" s="108" t="s">
        <v>154</v>
      </c>
      <c r="B34" s="2">
        <v>6</v>
      </c>
      <c r="C34" s="103" t="s">
        <v>98</v>
      </c>
      <c r="D34" t="s">
        <v>75</v>
      </c>
      <c r="E34" s="2">
        <v>0.5</v>
      </c>
      <c r="F34" s="2">
        <f t="shared" si="4"/>
        <v>0.5</v>
      </c>
      <c r="G34" s="2">
        <v>0.5</v>
      </c>
      <c r="H34" s="2">
        <v>0.5</v>
      </c>
      <c r="I34" s="2">
        <v>0.5</v>
      </c>
      <c r="J34" s="2">
        <v>0</v>
      </c>
      <c r="AC34" s="2" t="str">
        <f t="shared" ref="AC34:AD50" si="7">IF(OR(AC$14="",$E34=""),"",AB34)</f>
        <v/>
      </c>
      <c r="AD34" s="2" t="str">
        <f t="shared" si="7"/>
        <v/>
      </c>
    </row>
    <row r="35" spans="1:30">
      <c r="A35" s="108" t="s">
        <v>155</v>
      </c>
      <c r="B35" s="2">
        <v>6</v>
      </c>
      <c r="C35" s="103" t="s">
        <v>98</v>
      </c>
      <c r="D35" t="s">
        <v>75</v>
      </c>
      <c r="E35" s="2">
        <v>1</v>
      </c>
      <c r="F35" s="2">
        <f t="shared" si="4"/>
        <v>1</v>
      </c>
      <c r="G35" s="2">
        <v>1</v>
      </c>
      <c r="H35" s="2">
        <v>1</v>
      </c>
      <c r="I35" s="2">
        <v>0.5</v>
      </c>
      <c r="J35" s="2">
        <v>0.2</v>
      </c>
      <c r="K35" s="2">
        <v>0</v>
      </c>
      <c r="AC35" s="2" t="str">
        <f t="shared" si="7"/>
        <v/>
      </c>
      <c r="AD35" s="2" t="str">
        <f t="shared" si="7"/>
        <v/>
      </c>
    </row>
    <row r="36" spans="1:30" ht="25.5">
      <c r="A36" s="108" t="s">
        <v>156</v>
      </c>
      <c r="B36" s="2">
        <v>6</v>
      </c>
      <c r="C36" s="103" t="s">
        <v>134</v>
      </c>
      <c r="D36" t="s">
        <v>75</v>
      </c>
      <c r="E36" s="2">
        <v>0.5</v>
      </c>
      <c r="F36" s="2">
        <f t="shared" si="4"/>
        <v>0.5</v>
      </c>
      <c r="G36" s="2">
        <v>0.5</v>
      </c>
      <c r="H36" s="2">
        <v>0.5</v>
      </c>
      <c r="I36" s="2">
        <v>0.5</v>
      </c>
      <c r="J36" s="2">
        <v>0.5</v>
      </c>
      <c r="K36" s="2">
        <v>0.2</v>
      </c>
      <c r="L36" s="2">
        <v>0.1</v>
      </c>
      <c r="M36" s="2">
        <v>0</v>
      </c>
      <c r="AC36" s="2" t="str">
        <f t="shared" si="7"/>
        <v/>
      </c>
      <c r="AD36" s="2" t="str">
        <f t="shared" si="7"/>
        <v/>
      </c>
    </row>
    <row r="37" spans="1:30">
      <c r="A37" s="108" t="s">
        <v>157</v>
      </c>
      <c r="B37" s="2">
        <v>6</v>
      </c>
      <c r="C37" s="103" t="s">
        <v>134</v>
      </c>
      <c r="D37" t="s">
        <v>75</v>
      </c>
      <c r="E37" s="2">
        <v>0.1</v>
      </c>
      <c r="F37" s="2">
        <f t="shared" si="4"/>
        <v>0.1</v>
      </c>
      <c r="G37" s="2">
        <f t="shared" ref="G37:G47" si="8">IF(OR(G$14="",$E37=""),"",F37)</f>
        <v>0.1</v>
      </c>
      <c r="H37" s="2">
        <f t="shared" ref="H37:H47" si="9">IF(OR(H$14="",$E37=""),"",G37)</f>
        <v>0.1</v>
      </c>
      <c r="I37" s="2">
        <f t="shared" ref="I37:I47" si="10">IF(OR(I$14="",$E37=""),"",H37)</f>
        <v>0.1</v>
      </c>
      <c r="J37" s="2">
        <v>0.1</v>
      </c>
      <c r="K37" s="2">
        <v>0</v>
      </c>
      <c r="AC37" s="2" t="str">
        <f t="shared" si="7"/>
        <v/>
      </c>
      <c r="AD37" s="2" t="str">
        <f t="shared" si="7"/>
        <v/>
      </c>
    </row>
    <row r="38" spans="1:30">
      <c r="A38" s="108" t="s">
        <v>158</v>
      </c>
      <c r="C38" s="103" t="s">
        <v>134</v>
      </c>
      <c r="D38" t="str">
        <f t="shared" si="6"/>
        <v>Planned</v>
      </c>
      <c r="E38" s="2">
        <v>0.3</v>
      </c>
      <c r="F38" s="2">
        <f t="shared" si="4"/>
        <v>0.3</v>
      </c>
      <c r="G38" s="2">
        <f t="shared" si="8"/>
        <v>0.3</v>
      </c>
      <c r="H38" s="2">
        <f t="shared" si="9"/>
        <v>0.3</v>
      </c>
      <c r="I38" s="2">
        <f t="shared" si="10"/>
        <v>0.3</v>
      </c>
      <c r="J38" s="2">
        <v>0.3</v>
      </c>
      <c r="K38" s="2">
        <v>0.3</v>
      </c>
      <c r="L38" s="2">
        <v>0.3</v>
      </c>
      <c r="M38" s="2">
        <v>0.3</v>
      </c>
      <c r="AC38" s="2" t="str">
        <f t="shared" si="7"/>
        <v/>
      </c>
      <c r="AD38" s="2" t="str">
        <f t="shared" si="7"/>
        <v/>
      </c>
    </row>
    <row r="39" spans="1:30">
      <c r="A39" s="108" t="s">
        <v>159</v>
      </c>
      <c r="B39" s="2">
        <v>5</v>
      </c>
      <c r="C39" s="103" t="s">
        <v>134</v>
      </c>
      <c r="D39" t="s">
        <v>76</v>
      </c>
      <c r="E39" s="2">
        <v>0.1</v>
      </c>
      <c r="F39" s="2">
        <f t="shared" si="4"/>
        <v>0.1</v>
      </c>
      <c r="G39" s="2">
        <f t="shared" si="8"/>
        <v>0.1</v>
      </c>
      <c r="H39" s="2">
        <f t="shared" si="9"/>
        <v>0.1</v>
      </c>
      <c r="I39" s="2">
        <f t="shared" si="10"/>
        <v>0.1</v>
      </c>
      <c r="J39" s="2">
        <v>0.1</v>
      </c>
      <c r="K39" s="2">
        <v>0.1</v>
      </c>
      <c r="L39" s="2">
        <v>0.1</v>
      </c>
      <c r="M39" s="2">
        <v>0.1</v>
      </c>
      <c r="AC39" s="2" t="str">
        <f t="shared" si="7"/>
        <v/>
      </c>
      <c r="AD39" s="2" t="str">
        <f t="shared" si="7"/>
        <v/>
      </c>
    </row>
    <row r="40" spans="1:30">
      <c r="A40" s="108" t="s">
        <v>160</v>
      </c>
      <c r="B40" s="2">
        <v>5</v>
      </c>
      <c r="C40" s="103" t="s">
        <v>98</v>
      </c>
      <c r="D40" t="s">
        <v>75</v>
      </c>
      <c r="E40" s="2">
        <v>0.2</v>
      </c>
      <c r="F40" s="2">
        <f t="shared" si="4"/>
        <v>0.2</v>
      </c>
      <c r="G40" s="2">
        <f t="shared" si="8"/>
        <v>0.2</v>
      </c>
      <c r="H40" s="2">
        <f t="shared" si="9"/>
        <v>0.2</v>
      </c>
      <c r="I40" s="2">
        <f t="shared" si="10"/>
        <v>0.2</v>
      </c>
      <c r="J40" s="2">
        <v>0.2</v>
      </c>
      <c r="K40" s="2">
        <v>0</v>
      </c>
      <c r="AC40" s="2" t="str">
        <f t="shared" si="7"/>
        <v/>
      </c>
      <c r="AD40" s="2" t="str">
        <f t="shared" si="7"/>
        <v/>
      </c>
    </row>
    <row r="41" spans="1:30">
      <c r="A41" s="108" t="s">
        <v>161</v>
      </c>
      <c r="B41" s="2">
        <v>5</v>
      </c>
      <c r="C41" s="103" t="s">
        <v>98</v>
      </c>
      <c r="D41" t="s">
        <v>76</v>
      </c>
      <c r="E41" s="2">
        <v>0.2</v>
      </c>
      <c r="F41" s="2">
        <f t="shared" si="4"/>
        <v>0.2</v>
      </c>
      <c r="G41" s="2">
        <f t="shared" si="8"/>
        <v>0.2</v>
      </c>
      <c r="H41" s="2">
        <f t="shared" si="9"/>
        <v>0.2</v>
      </c>
      <c r="I41" s="2">
        <f t="shared" si="10"/>
        <v>0.2</v>
      </c>
      <c r="J41" s="2">
        <v>0.2</v>
      </c>
      <c r="K41" s="2">
        <v>0.2</v>
      </c>
      <c r="L41" s="2">
        <v>0.2</v>
      </c>
      <c r="M41" s="2">
        <v>0.2</v>
      </c>
      <c r="AC41" s="2" t="str">
        <f t="shared" si="7"/>
        <v/>
      </c>
      <c r="AD41" s="2" t="str">
        <f t="shared" si="7"/>
        <v/>
      </c>
    </row>
    <row r="42" spans="1:30" ht="25.5">
      <c r="A42" s="108" t="s">
        <v>162</v>
      </c>
      <c r="B42" s="2">
        <v>5</v>
      </c>
      <c r="C42" s="103" t="s">
        <v>98</v>
      </c>
      <c r="D42" t="str">
        <f t="shared" si="6"/>
        <v>Planned</v>
      </c>
      <c r="E42" s="2">
        <v>0.2</v>
      </c>
      <c r="F42" s="2">
        <f t="shared" si="4"/>
        <v>0.2</v>
      </c>
      <c r="G42" s="2">
        <f t="shared" si="8"/>
        <v>0.2</v>
      </c>
      <c r="H42" s="2">
        <f t="shared" si="9"/>
        <v>0.2</v>
      </c>
      <c r="I42" s="2">
        <f t="shared" si="10"/>
        <v>0.2</v>
      </c>
      <c r="J42" s="2">
        <v>0.2</v>
      </c>
      <c r="K42" s="2">
        <v>0.2</v>
      </c>
      <c r="L42" s="2">
        <v>0.2</v>
      </c>
      <c r="M42" s="2">
        <v>0.2</v>
      </c>
      <c r="AC42" s="2" t="str">
        <f t="shared" si="7"/>
        <v/>
      </c>
      <c r="AD42" s="2" t="str">
        <f t="shared" si="7"/>
        <v/>
      </c>
    </row>
    <row r="43" spans="1:30">
      <c r="A43" s="108" t="s">
        <v>163</v>
      </c>
      <c r="B43" s="2">
        <v>5</v>
      </c>
      <c r="C43" s="103" t="s">
        <v>98</v>
      </c>
      <c r="D43" t="str">
        <f t="shared" si="6"/>
        <v>Planned</v>
      </c>
      <c r="E43" s="2">
        <v>0.5</v>
      </c>
      <c r="F43" s="2">
        <f t="shared" si="4"/>
        <v>0.5</v>
      </c>
      <c r="G43" s="2">
        <f t="shared" si="8"/>
        <v>0.5</v>
      </c>
      <c r="H43" s="2">
        <f t="shared" si="9"/>
        <v>0.5</v>
      </c>
      <c r="I43" s="2">
        <f t="shared" si="10"/>
        <v>0.5</v>
      </c>
      <c r="J43" s="2">
        <v>0.5</v>
      </c>
      <c r="K43" s="2">
        <v>0.3</v>
      </c>
      <c r="L43" s="2">
        <v>0.3</v>
      </c>
      <c r="M43" s="2">
        <v>0.3</v>
      </c>
      <c r="AC43" s="2" t="str">
        <f t="shared" si="7"/>
        <v/>
      </c>
      <c r="AD43" s="2" t="str">
        <f t="shared" si="7"/>
        <v/>
      </c>
    </row>
    <row r="44" spans="1:30">
      <c r="A44" s="108" t="s">
        <v>164</v>
      </c>
      <c r="B44" s="2">
        <v>5</v>
      </c>
      <c r="C44" s="103" t="s">
        <v>134</v>
      </c>
      <c r="D44" t="s">
        <v>75</v>
      </c>
      <c r="E44" s="2">
        <v>0.2</v>
      </c>
      <c r="F44" s="2">
        <f t="shared" si="4"/>
        <v>0.2</v>
      </c>
      <c r="G44" s="2">
        <f t="shared" si="8"/>
        <v>0.2</v>
      </c>
      <c r="H44" s="2">
        <f t="shared" si="9"/>
        <v>0.2</v>
      </c>
      <c r="I44" s="2">
        <f t="shared" si="10"/>
        <v>0.2</v>
      </c>
      <c r="J44" s="2">
        <v>0.2</v>
      </c>
      <c r="K44" s="2">
        <v>0</v>
      </c>
      <c r="AC44" s="2" t="str">
        <f t="shared" si="7"/>
        <v/>
      </c>
      <c r="AD44" s="2" t="str">
        <f t="shared" si="7"/>
        <v/>
      </c>
    </row>
    <row r="45" spans="1:30">
      <c r="A45" s="108" t="s">
        <v>165</v>
      </c>
      <c r="B45" s="2">
        <v>5</v>
      </c>
      <c r="C45" s="103" t="s">
        <v>134</v>
      </c>
      <c r="D45" t="s">
        <v>75</v>
      </c>
      <c r="E45" s="2">
        <v>0.1</v>
      </c>
      <c r="F45" s="2">
        <f t="shared" si="4"/>
        <v>0.1</v>
      </c>
      <c r="G45" s="2">
        <f t="shared" si="8"/>
        <v>0.1</v>
      </c>
      <c r="H45" s="2">
        <f t="shared" si="9"/>
        <v>0.1</v>
      </c>
      <c r="I45" s="2">
        <f t="shared" si="10"/>
        <v>0.1</v>
      </c>
      <c r="J45" s="2">
        <v>0.1</v>
      </c>
      <c r="K45" s="2">
        <v>0</v>
      </c>
      <c r="AC45" s="2" t="str">
        <f t="shared" si="7"/>
        <v/>
      </c>
      <c r="AD45" s="2" t="str">
        <f t="shared" si="7"/>
        <v/>
      </c>
    </row>
    <row r="46" spans="1:30">
      <c r="A46" s="108" t="s">
        <v>166</v>
      </c>
      <c r="B46" s="2">
        <v>5</v>
      </c>
      <c r="C46" s="103" t="s">
        <v>134</v>
      </c>
      <c r="D46" t="s">
        <v>75</v>
      </c>
      <c r="E46" s="2">
        <v>0.1</v>
      </c>
      <c r="F46" s="2">
        <f t="shared" si="4"/>
        <v>0.1</v>
      </c>
      <c r="G46" s="2">
        <f t="shared" si="8"/>
        <v>0.1</v>
      </c>
      <c r="H46" s="2">
        <f t="shared" si="9"/>
        <v>0.1</v>
      </c>
      <c r="I46" s="2">
        <f t="shared" si="10"/>
        <v>0.1</v>
      </c>
      <c r="J46" s="2">
        <v>0.1</v>
      </c>
      <c r="K46" s="2">
        <v>0</v>
      </c>
      <c r="AC46" s="2" t="str">
        <f t="shared" si="7"/>
        <v/>
      </c>
      <c r="AD46" s="2" t="str">
        <f t="shared" si="7"/>
        <v/>
      </c>
    </row>
    <row r="47" spans="1:30">
      <c r="A47" s="108" t="s">
        <v>167</v>
      </c>
      <c r="B47" s="2">
        <v>5</v>
      </c>
      <c r="C47" s="103" t="s">
        <v>98</v>
      </c>
      <c r="D47" t="s">
        <v>75</v>
      </c>
      <c r="E47" s="2">
        <v>0.3</v>
      </c>
      <c r="F47" s="2">
        <f t="shared" si="4"/>
        <v>0.3</v>
      </c>
      <c r="G47" s="2">
        <f t="shared" si="8"/>
        <v>0.3</v>
      </c>
      <c r="H47" s="2">
        <f t="shared" si="9"/>
        <v>0.3</v>
      </c>
      <c r="I47" s="2">
        <f t="shared" si="10"/>
        <v>0.3</v>
      </c>
      <c r="J47" s="2">
        <v>0</v>
      </c>
      <c r="AC47" s="2" t="str">
        <f t="shared" si="7"/>
        <v/>
      </c>
      <c r="AD47" s="2" t="str">
        <f t="shared" si="7"/>
        <v/>
      </c>
    </row>
    <row r="48" spans="1:30" ht="25.5">
      <c r="A48" s="108" t="s">
        <v>168</v>
      </c>
      <c r="B48" s="2">
        <v>5</v>
      </c>
      <c r="D48" t="s">
        <v>75</v>
      </c>
      <c r="E48" s="2">
        <v>0.1</v>
      </c>
      <c r="F48" s="2">
        <f t="shared" si="4"/>
        <v>0.1</v>
      </c>
      <c r="G48" s="2">
        <v>0.1</v>
      </c>
      <c r="H48" s="2">
        <v>0.1</v>
      </c>
      <c r="I48" s="2">
        <v>0</v>
      </c>
      <c r="AC48" s="2" t="str">
        <f t="shared" si="7"/>
        <v/>
      </c>
      <c r="AD48" s="2" t="str">
        <f t="shared" si="7"/>
        <v/>
      </c>
    </row>
    <row r="49" spans="1:30">
      <c r="A49" s="108" t="s">
        <v>169</v>
      </c>
      <c r="B49" s="2">
        <v>5</v>
      </c>
      <c r="C49" s="103" t="s">
        <v>98</v>
      </c>
      <c r="D49" t="str">
        <f t="shared" si="6"/>
        <v>Planned</v>
      </c>
      <c r="E49" s="2">
        <v>0.2</v>
      </c>
      <c r="F49" s="2">
        <f t="shared" si="4"/>
        <v>0.2</v>
      </c>
      <c r="G49" s="2">
        <f t="shared" ref="G49:G51" si="11">IF(OR(G$14="",$E49=""),"",F49)</f>
        <v>0.2</v>
      </c>
      <c r="H49" s="2">
        <f t="shared" ref="H49:H51" si="12">IF(OR(H$14="",$E49=""),"",G49)</f>
        <v>0.2</v>
      </c>
      <c r="I49" s="2">
        <f t="shared" ref="I49:I51" si="13">IF(OR(I$14="",$E49=""),"",H49)</f>
        <v>0.2</v>
      </c>
      <c r="J49" s="2">
        <v>0.2</v>
      </c>
      <c r="AC49" s="2" t="str">
        <f t="shared" si="7"/>
        <v/>
      </c>
      <c r="AD49" s="2" t="str">
        <f t="shared" si="7"/>
        <v/>
      </c>
    </row>
    <row r="50" spans="1:30">
      <c r="A50" s="108" t="s">
        <v>170</v>
      </c>
      <c r="B50" s="2">
        <v>5</v>
      </c>
      <c r="C50" s="103" t="s">
        <v>98</v>
      </c>
      <c r="D50" t="s">
        <v>76</v>
      </c>
      <c r="E50" s="2">
        <v>0.2</v>
      </c>
      <c r="F50" s="2">
        <f t="shared" si="4"/>
        <v>0.2</v>
      </c>
      <c r="G50" s="2">
        <f t="shared" si="11"/>
        <v>0.2</v>
      </c>
      <c r="H50" s="2">
        <f t="shared" si="12"/>
        <v>0.2</v>
      </c>
      <c r="I50" s="2">
        <f t="shared" si="13"/>
        <v>0.2</v>
      </c>
      <c r="J50" s="2">
        <v>0.2</v>
      </c>
      <c r="K50" s="2">
        <v>0.1</v>
      </c>
      <c r="L50" s="2">
        <v>0.1</v>
      </c>
      <c r="M50" s="2">
        <v>0.1</v>
      </c>
      <c r="AC50" s="2" t="str">
        <f t="shared" si="7"/>
        <v/>
      </c>
      <c r="AD50" s="2" t="str">
        <f t="shared" si="7"/>
        <v/>
      </c>
    </row>
    <row r="51" spans="1:30">
      <c r="A51" s="109" t="s">
        <v>172</v>
      </c>
      <c r="B51" s="2">
        <v>5</v>
      </c>
      <c r="C51" s="103" t="s">
        <v>98</v>
      </c>
      <c r="D51" t="str">
        <f t="shared" si="6"/>
        <v>Planned</v>
      </c>
      <c r="E51" s="2">
        <v>1</v>
      </c>
      <c r="F51" s="2">
        <f t="shared" si="4"/>
        <v>1</v>
      </c>
      <c r="G51" s="2">
        <f t="shared" si="11"/>
        <v>1</v>
      </c>
      <c r="H51" s="2">
        <f t="shared" si="12"/>
        <v>1</v>
      </c>
      <c r="I51" s="2">
        <f t="shared" si="13"/>
        <v>1</v>
      </c>
      <c r="J51" s="2">
        <v>1</v>
      </c>
      <c r="K51" s="2">
        <v>1</v>
      </c>
      <c r="L51" s="2">
        <v>1</v>
      </c>
      <c r="M51" s="2">
        <v>1</v>
      </c>
      <c r="AC51" s="2" t="str">
        <f t="shared" ref="AC51:AD53" si="14">IF(OR(AC$14="",$E51=""),"",AB51)</f>
        <v/>
      </c>
      <c r="AD51" s="2" t="str">
        <f t="shared" si="14"/>
        <v/>
      </c>
    </row>
    <row r="52" spans="1:30">
      <c r="A52" s="109" t="s">
        <v>173</v>
      </c>
      <c r="B52" s="2">
        <v>5</v>
      </c>
      <c r="C52" s="103" t="s">
        <v>98</v>
      </c>
      <c r="D52" t="str">
        <f t="shared" si="6"/>
        <v>Planned</v>
      </c>
      <c r="E52" s="2">
        <v>0.5</v>
      </c>
      <c r="F52" s="2">
        <f t="shared" si="4"/>
        <v>0.5</v>
      </c>
      <c r="G52" s="2">
        <f t="shared" si="4"/>
        <v>0.5</v>
      </c>
      <c r="H52" s="2">
        <f t="shared" si="4"/>
        <v>0.5</v>
      </c>
      <c r="I52" s="2">
        <f t="shared" si="4"/>
        <v>0.5</v>
      </c>
      <c r="J52" s="2">
        <f t="shared" si="4"/>
        <v>0.5</v>
      </c>
      <c r="K52" s="2">
        <f t="shared" si="4"/>
        <v>0.5</v>
      </c>
      <c r="L52" s="2">
        <f t="shared" si="4"/>
        <v>0.5</v>
      </c>
      <c r="M52" s="2">
        <f t="shared" si="4"/>
        <v>0.5</v>
      </c>
      <c r="N52" s="2" t="str">
        <f t="shared" si="4"/>
        <v/>
      </c>
      <c r="O52" s="2" t="str">
        <f t="shared" si="4"/>
        <v/>
      </c>
      <c r="P52" s="2" t="str">
        <f t="shared" si="4"/>
        <v/>
      </c>
      <c r="Q52" s="2" t="str">
        <f t="shared" si="4"/>
        <v/>
      </c>
      <c r="R52" s="2" t="str">
        <f t="shared" si="4"/>
        <v/>
      </c>
      <c r="S52" s="2" t="str">
        <f t="shared" si="4"/>
        <v/>
      </c>
      <c r="T52" s="2" t="str">
        <f t="shared" si="4"/>
        <v/>
      </c>
      <c r="U52" s="2" t="str">
        <f t="shared" si="4"/>
        <v/>
      </c>
      <c r="V52" s="2" t="str">
        <f t="shared" ref="V52:AB53" si="15">IF(OR(V$14="",$E52=""),"",U52)</f>
        <v/>
      </c>
      <c r="W52" s="2" t="str">
        <f t="shared" si="15"/>
        <v/>
      </c>
      <c r="X52" s="2" t="str">
        <f t="shared" si="15"/>
        <v/>
      </c>
      <c r="Y52" s="2" t="str">
        <f t="shared" si="15"/>
        <v/>
      </c>
      <c r="Z52" s="2" t="str">
        <f t="shared" si="15"/>
        <v/>
      </c>
      <c r="AA52" s="2" t="str">
        <f t="shared" si="15"/>
        <v/>
      </c>
      <c r="AB52" s="2" t="str">
        <f t="shared" si="15"/>
        <v/>
      </c>
      <c r="AC52" s="2" t="str">
        <f t="shared" si="14"/>
        <v/>
      </c>
      <c r="AD52" s="2" t="str">
        <f t="shared" si="14"/>
        <v/>
      </c>
    </row>
    <row r="53" spans="1:30">
      <c r="A53" s="109" t="s">
        <v>174</v>
      </c>
      <c r="B53" s="2">
        <v>5</v>
      </c>
      <c r="C53" s="103" t="s">
        <v>98</v>
      </c>
      <c r="D53" t="s">
        <v>76</v>
      </c>
      <c r="E53" s="2">
        <v>1</v>
      </c>
      <c r="F53" s="2">
        <f t="shared" si="4"/>
        <v>1</v>
      </c>
      <c r="G53" s="2">
        <f t="shared" si="4"/>
        <v>1</v>
      </c>
      <c r="H53" s="2">
        <f t="shared" si="4"/>
        <v>1</v>
      </c>
      <c r="I53" s="2">
        <v>0.5</v>
      </c>
      <c r="J53" s="2">
        <f t="shared" si="4"/>
        <v>0.5</v>
      </c>
      <c r="K53" s="2">
        <f t="shared" si="4"/>
        <v>0.5</v>
      </c>
      <c r="L53" s="2">
        <f t="shared" si="4"/>
        <v>0.5</v>
      </c>
      <c r="M53" s="2">
        <v>0.2</v>
      </c>
      <c r="N53" s="2" t="str">
        <f t="shared" si="4"/>
        <v/>
      </c>
      <c r="O53" s="2" t="str">
        <f t="shared" si="4"/>
        <v/>
      </c>
      <c r="P53" s="2" t="str">
        <f t="shared" si="4"/>
        <v/>
      </c>
      <c r="Q53" s="2" t="str">
        <f t="shared" si="4"/>
        <v/>
      </c>
      <c r="R53" s="2" t="str">
        <f t="shared" si="4"/>
        <v/>
      </c>
      <c r="S53" s="2" t="str">
        <f t="shared" si="4"/>
        <v/>
      </c>
      <c r="T53" s="2" t="str">
        <f t="shared" si="4"/>
        <v/>
      </c>
      <c r="U53" s="2" t="str">
        <f t="shared" si="4"/>
        <v/>
      </c>
      <c r="V53" s="2" t="str">
        <f t="shared" si="15"/>
        <v/>
      </c>
      <c r="W53" s="2" t="str">
        <f t="shared" si="15"/>
        <v/>
      </c>
      <c r="X53" s="2" t="str">
        <f t="shared" si="15"/>
        <v/>
      </c>
      <c r="Y53" s="2" t="str">
        <f t="shared" si="15"/>
        <v/>
      </c>
      <c r="Z53" s="2" t="str">
        <f t="shared" si="15"/>
        <v/>
      </c>
      <c r="AA53" s="2" t="str">
        <f t="shared" si="15"/>
        <v/>
      </c>
      <c r="AB53" s="2" t="str">
        <f t="shared" si="15"/>
        <v/>
      </c>
      <c r="AC53" s="2" t="str">
        <f t="shared" si="14"/>
        <v/>
      </c>
      <c r="AD53" s="2" t="str">
        <f t="shared" si="14"/>
        <v/>
      </c>
    </row>
    <row r="54" spans="1:30">
      <c r="A54" s="109" t="s">
        <v>175</v>
      </c>
      <c r="B54" s="2">
        <v>5</v>
      </c>
      <c r="C54" s="103" t="s">
        <v>98</v>
      </c>
      <c r="D54" t="str">
        <f t="shared" si="6"/>
        <v>Planned</v>
      </c>
      <c r="E54" s="104">
        <v>0.1</v>
      </c>
      <c r="F54" s="104">
        <f t="shared" si="4"/>
        <v>0.1</v>
      </c>
      <c r="G54" s="2">
        <f t="shared" si="4"/>
        <v>0.1</v>
      </c>
      <c r="H54" s="2">
        <f t="shared" si="4"/>
        <v>0.1</v>
      </c>
      <c r="I54" s="2">
        <f t="shared" si="4"/>
        <v>0.1</v>
      </c>
      <c r="J54" s="2">
        <v>0.1</v>
      </c>
      <c r="K54" s="2">
        <v>0.1</v>
      </c>
      <c r="L54" s="2">
        <v>0.1</v>
      </c>
      <c r="M54" s="2">
        <v>0.1</v>
      </c>
    </row>
    <row r="55" spans="1:30">
      <c r="A55" s="109" t="s">
        <v>176</v>
      </c>
      <c r="B55" s="2">
        <v>5</v>
      </c>
      <c r="C55" s="103" t="s">
        <v>134</v>
      </c>
      <c r="D55" t="str">
        <f t="shared" si="6"/>
        <v>Planned</v>
      </c>
      <c r="E55" s="2">
        <v>0.5</v>
      </c>
      <c r="F55" s="2">
        <f t="shared" si="4"/>
        <v>0.5</v>
      </c>
      <c r="G55" s="2">
        <f t="shared" si="4"/>
        <v>0.5</v>
      </c>
      <c r="H55" s="2">
        <f t="shared" si="4"/>
        <v>0.5</v>
      </c>
      <c r="I55" s="2">
        <f t="shared" si="4"/>
        <v>0.5</v>
      </c>
      <c r="J55" s="2">
        <v>0.5</v>
      </c>
      <c r="K55" s="2">
        <v>0.5</v>
      </c>
      <c r="L55" s="2">
        <v>0.5</v>
      </c>
      <c r="M55" s="2">
        <v>0.5</v>
      </c>
    </row>
    <row r="56" spans="1:30" ht="25.5">
      <c r="A56" s="109" t="s">
        <v>177</v>
      </c>
      <c r="B56" s="2">
        <v>5</v>
      </c>
      <c r="C56" s="103" t="s">
        <v>178</v>
      </c>
      <c r="D56" t="str">
        <f t="shared" si="6"/>
        <v>Planned</v>
      </c>
      <c r="E56" s="2">
        <v>0.2</v>
      </c>
      <c r="F56" s="2">
        <f t="shared" si="4"/>
        <v>0.2</v>
      </c>
      <c r="G56" s="2">
        <f t="shared" si="4"/>
        <v>0.2</v>
      </c>
      <c r="H56" s="2">
        <f t="shared" si="4"/>
        <v>0.2</v>
      </c>
      <c r="I56" s="2">
        <f t="shared" si="4"/>
        <v>0.2</v>
      </c>
      <c r="J56" s="2">
        <v>0.2</v>
      </c>
      <c r="K56" s="2">
        <v>0.2</v>
      </c>
      <c r="L56" s="2">
        <v>0.2</v>
      </c>
      <c r="M56" s="2">
        <v>0.2</v>
      </c>
    </row>
    <row r="57" spans="1:30">
      <c r="A57" s="109" t="s">
        <v>179</v>
      </c>
      <c r="B57" s="2">
        <v>5</v>
      </c>
      <c r="C57" s="103" t="s">
        <v>180</v>
      </c>
      <c r="D57" t="str">
        <f>IF(A57&lt;&gt;"","Planned","")</f>
        <v>Planned</v>
      </c>
      <c r="E57" s="2">
        <v>0.3</v>
      </c>
      <c r="F57" s="2">
        <f t="shared" si="4"/>
        <v>0.3</v>
      </c>
      <c r="G57" s="2">
        <f t="shared" si="4"/>
        <v>0.3</v>
      </c>
      <c r="H57" s="2">
        <f t="shared" si="4"/>
        <v>0.3</v>
      </c>
      <c r="I57" s="2">
        <f t="shared" si="4"/>
        <v>0.3</v>
      </c>
      <c r="J57" s="2">
        <v>0.3</v>
      </c>
      <c r="K57" s="2">
        <v>0.3</v>
      </c>
      <c r="L57" s="2">
        <v>0.3</v>
      </c>
      <c r="M57" s="2">
        <v>0.3</v>
      </c>
    </row>
    <row r="58" spans="1:30">
      <c r="A58" s="109" t="s">
        <v>181</v>
      </c>
      <c r="B58" s="2">
        <v>5</v>
      </c>
      <c r="C58" s="103" t="s">
        <v>98</v>
      </c>
      <c r="D58" t="str">
        <f>IF(A58&lt;&gt;"","Planned","")</f>
        <v>Planned</v>
      </c>
      <c r="E58" s="2">
        <v>0.1</v>
      </c>
      <c r="F58" s="2">
        <f t="shared" si="4"/>
        <v>0.1</v>
      </c>
      <c r="G58" s="2">
        <f t="shared" si="4"/>
        <v>0.1</v>
      </c>
      <c r="H58" s="2">
        <f t="shared" si="4"/>
        <v>0.1</v>
      </c>
      <c r="I58" s="2">
        <f t="shared" si="4"/>
        <v>0.1</v>
      </c>
      <c r="J58" s="2">
        <v>0.1</v>
      </c>
      <c r="K58" s="2">
        <v>0.1</v>
      </c>
      <c r="L58" s="2">
        <v>0.1</v>
      </c>
      <c r="M58" s="2">
        <v>0.1</v>
      </c>
    </row>
  </sheetData>
  <conditionalFormatting sqref="J15:AD18 A19:AD52 C53 C54:D56 C57 A53:A58 C58:D58">
    <cfRule type="expression" dxfId="231" priority="11" stopIfTrue="1">
      <formula>$D15="Done"</formula>
    </cfRule>
    <cfRule type="expression" dxfId="230" priority="12" stopIfTrue="1">
      <formula>$D15="Ongoing"</formula>
    </cfRule>
  </conditionalFormatting>
  <conditionalFormatting sqref="B15:I18 A15 A17:A18">
    <cfRule type="expression" dxfId="229" priority="9" stopIfTrue="1">
      <formula>$D15="Done"</formula>
    </cfRule>
    <cfRule type="expression" dxfId="228" priority="10" stopIfTrue="1">
      <formula>$D15="Ongoing"</formula>
    </cfRule>
  </conditionalFormatting>
  <conditionalFormatting sqref="A15">
    <cfRule type="expression" dxfId="227" priority="7" stopIfTrue="1">
      <formula>$D15="Done"</formula>
    </cfRule>
    <cfRule type="expression" dxfId="226" priority="8" stopIfTrue="1">
      <formula>$D15="Ongoing"</formula>
    </cfRule>
  </conditionalFormatting>
  <conditionalFormatting sqref="A15">
    <cfRule type="expression" dxfId="225" priority="5" stopIfTrue="1">
      <formula>$D15="Done"</formula>
    </cfRule>
    <cfRule type="expression" dxfId="224" priority="6" stopIfTrue="1">
      <formula>$D15="Ongoing"</formula>
    </cfRule>
  </conditionalFormatting>
  <conditionalFormatting sqref="A17">
    <cfRule type="expression" dxfId="223" priority="3" stopIfTrue="1">
      <formula>$D17="Done"</formula>
    </cfRule>
    <cfRule type="expression" dxfId="222" priority="4" stopIfTrue="1">
      <formula>$D17="Ongoing"</formula>
    </cfRule>
  </conditionalFormatting>
  <conditionalFormatting sqref="A18">
    <cfRule type="expression" dxfId="221" priority="1" stopIfTrue="1">
      <formula>$D18="Done"</formula>
    </cfRule>
    <cfRule type="expression" dxfId="220" priority="2" stopIfTrue="1">
      <formula>$D18="Ongoing"</formula>
    </cfRule>
  </conditionalFormatting>
  <dataValidations count="1">
    <dataValidation type="list" allowBlank="1" showInputMessage="1" sqref="D3:D8 D15:D57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AD64"/>
  <sheetViews>
    <sheetView workbookViewId="0">
      <pane ySplit="14" topLeftCell="A21" activePane="bottomLeft" state="frozen"/>
      <selection pane="bottomLeft" activeCell="B37" sqref="B37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5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21.099999999999994</v>
      </c>
      <c r="F10" s="17">
        <f ca="1">IF(AND(SUM(OFFSET(F14,1,0,TaskRows,1))=0),0,SUM(OFFSET(F14,1,0,TaskRows,1)))</f>
        <v>21.099999999999994</v>
      </c>
      <c r="G10" s="17">
        <f t="shared" ref="G10:AD10" ca="1" si="0">IF(AND(SUM(OFFSET(G14,1,0,TaskRows,1))=0),"",SUM(OFFSET(G14,1,0,TaskRows,1)))</f>
        <v>21.099999999999994</v>
      </c>
      <c r="H10" s="17">
        <f t="shared" ca="1" si="0"/>
        <v>16.899999999999999</v>
      </c>
      <c r="I10" s="17">
        <f t="shared" ca="1" si="0"/>
        <v>15.099999999999996</v>
      </c>
      <c r="J10" s="17">
        <f t="shared" ca="1" si="0"/>
        <v>3.4</v>
      </c>
      <c r="K10" s="17">
        <f t="shared" ca="1" si="0"/>
        <v>2.2000000000000002</v>
      </c>
      <c r="L10" s="17">
        <f t="shared" ca="1" si="0"/>
        <v>2.2000000000000002</v>
      </c>
      <c r="M10" s="17">
        <f t="shared" ca="1" si="0"/>
        <v>1.2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23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21.099999999999994</v>
      </c>
      <c r="G11" s="2">
        <f t="shared" ref="G11:AD11" ca="1" si="1">IF(G14="","",TotalEffort-TotalEffort/(ImplementationDays)*(G14-1))</f>
        <v>18.462499999999995</v>
      </c>
      <c r="H11" s="2">
        <f t="shared" ca="1" si="1"/>
        <v>15.824999999999996</v>
      </c>
      <c r="I11" s="2">
        <f t="shared" ca="1" si="1"/>
        <v>13.187499999999996</v>
      </c>
      <c r="J11" s="2">
        <f t="shared" ca="1" si="1"/>
        <v>10.549999999999997</v>
      </c>
      <c r="K11" s="2">
        <f t="shared" ca="1" si="1"/>
        <v>7.9124999999999979</v>
      </c>
      <c r="L11" s="2">
        <f t="shared" ca="1" si="1"/>
        <v>5.2749999999999986</v>
      </c>
      <c r="M11" s="2">
        <f t="shared" ca="1" si="1"/>
        <v>2.6374999999999993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19.319999999999993</v>
      </c>
      <c r="G12" s="2">
        <f t="shared" ca="1" si="2"/>
        <v>16.419999999999995</v>
      </c>
      <c r="H12" s="2">
        <f t="shared" ca="1" si="2"/>
        <v>13.519999999999994</v>
      </c>
      <c r="I12" s="2">
        <f t="shared" ca="1" si="2"/>
        <v>10.619999999999996</v>
      </c>
      <c r="J12" s="2">
        <f t="shared" ca="1" si="2"/>
        <v>7.7199999999999971</v>
      </c>
      <c r="K12" s="2">
        <f t="shared" ca="1" si="2"/>
        <v>4.8199999999999967</v>
      </c>
      <c r="L12" s="2">
        <f t="shared" ca="1" si="2"/>
        <v>1.9199999999999982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7" t="s">
        <v>121</v>
      </c>
      <c r="B15" s="2">
        <v>4</v>
      </c>
      <c r="C15" s="103" t="s">
        <v>98</v>
      </c>
      <c r="D15" t="s">
        <v>19</v>
      </c>
      <c r="E15" s="2">
        <v>3</v>
      </c>
      <c r="F15" s="2">
        <f t="shared" ref="F15" si="4">IF(OR(F$14="",$E15=""),"",E15)</f>
        <v>3</v>
      </c>
      <c r="G15" s="2">
        <v>3</v>
      </c>
      <c r="H15" s="2">
        <v>3</v>
      </c>
      <c r="I15" s="104">
        <v>3</v>
      </c>
      <c r="J15" s="104" t="s">
        <v>74</v>
      </c>
      <c r="K15" s="104" t="s">
        <v>74</v>
      </c>
      <c r="L15" s="104" t="s">
        <v>74</v>
      </c>
      <c r="M15" s="104" t="s">
        <v>74</v>
      </c>
      <c r="AC15" s="2" t="str">
        <f t="shared" ref="AC15:AD15" si="5">IF(OR(AC$14="",$E15=""),"",AB15)</f>
        <v/>
      </c>
      <c r="AD15" s="2" t="str">
        <f t="shared" si="5"/>
        <v/>
      </c>
    </row>
    <row r="16" spans="1:30">
      <c r="A16" s="103" t="s">
        <v>136</v>
      </c>
      <c r="B16" s="2">
        <v>6</v>
      </c>
      <c r="C16" s="103" t="s">
        <v>137</v>
      </c>
      <c r="D16" t="s">
        <v>76</v>
      </c>
      <c r="E16" s="2">
        <v>0.2</v>
      </c>
      <c r="F16" s="2">
        <v>0.2</v>
      </c>
      <c r="G16" s="2">
        <v>0.2</v>
      </c>
      <c r="H16" s="2">
        <v>0.2</v>
      </c>
      <c r="I16" s="2">
        <v>0.2</v>
      </c>
      <c r="J16" s="104">
        <v>0.1</v>
      </c>
      <c r="K16" s="104" t="s">
        <v>74</v>
      </c>
      <c r="L16" s="104" t="s">
        <v>74</v>
      </c>
      <c r="M16" s="104" t="s">
        <v>74</v>
      </c>
      <c r="AC16" s="2" t="s">
        <v>182</v>
      </c>
      <c r="AD16" s="2" t="s">
        <v>182</v>
      </c>
    </row>
    <row r="17" spans="1:30">
      <c r="A17" s="103" t="s">
        <v>146</v>
      </c>
      <c r="B17" s="2">
        <v>9</v>
      </c>
      <c r="C17" s="103" t="s">
        <v>134</v>
      </c>
      <c r="D17" t="s">
        <v>19</v>
      </c>
      <c r="E17" s="2">
        <v>5</v>
      </c>
      <c r="F17" s="2">
        <v>5</v>
      </c>
      <c r="G17" s="2">
        <v>5</v>
      </c>
      <c r="H17" s="2">
        <v>5</v>
      </c>
      <c r="I17" s="2">
        <v>5</v>
      </c>
      <c r="J17" s="104" t="s">
        <v>74</v>
      </c>
      <c r="K17" s="104" t="s">
        <v>74</v>
      </c>
      <c r="L17" s="104" t="s">
        <v>74</v>
      </c>
      <c r="M17" s="104" t="s">
        <v>74</v>
      </c>
      <c r="AC17" s="2" t="s">
        <v>182</v>
      </c>
      <c r="AD17" s="2" t="s">
        <v>182</v>
      </c>
    </row>
    <row r="18" spans="1:30">
      <c r="A18" s="103" t="s">
        <v>149</v>
      </c>
      <c r="B18" s="2">
        <v>6</v>
      </c>
      <c r="C18" s="103" t="s">
        <v>98</v>
      </c>
      <c r="D18" t="s">
        <v>76</v>
      </c>
      <c r="E18" s="2">
        <v>0.5</v>
      </c>
      <c r="F18" s="2">
        <v>0.5</v>
      </c>
      <c r="G18" s="2">
        <v>0.5</v>
      </c>
      <c r="H18" s="2">
        <v>0.2</v>
      </c>
      <c r="I18" s="104">
        <v>0.2</v>
      </c>
      <c r="J18" s="104">
        <v>0.1</v>
      </c>
      <c r="K18" s="104" t="s">
        <v>74</v>
      </c>
      <c r="L18" s="104" t="s">
        <v>74</v>
      </c>
      <c r="M18" s="104" t="s">
        <v>74</v>
      </c>
      <c r="AC18" s="2" t="s">
        <v>182</v>
      </c>
      <c r="AD18" s="2" t="s">
        <v>182</v>
      </c>
    </row>
    <row r="19" spans="1:30">
      <c r="A19" s="109" t="s">
        <v>171</v>
      </c>
      <c r="B19" s="2">
        <v>6</v>
      </c>
      <c r="C19" s="103" t="s">
        <v>145</v>
      </c>
      <c r="D19" t="s">
        <v>75</v>
      </c>
      <c r="E19" s="2">
        <v>1</v>
      </c>
      <c r="F19" s="2">
        <v>1</v>
      </c>
      <c r="G19" s="2">
        <v>1</v>
      </c>
      <c r="H19" s="2">
        <v>1</v>
      </c>
      <c r="I19" s="2">
        <v>0</v>
      </c>
      <c r="J19" s="104" t="s">
        <v>74</v>
      </c>
      <c r="K19" s="104" t="s">
        <v>74</v>
      </c>
      <c r="L19" s="104" t="s">
        <v>74</v>
      </c>
      <c r="M19" s="104" t="s">
        <v>74</v>
      </c>
      <c r="AC19" s="2" t="s">
        <v>182</v>
      </c>
      <c r="AD19" s="2" t="s">
        <v>182</v>
      </c>
    </row>
    <row r="20" spans="1:30">
      <c r="A20" s="108" t="s">
        <v>158</v>
      </c>
      <c r="C20" s="103" t="s">
        <v>134</v>
      </c>
      <c r="D20" t="s">
        <v>75</v>
      </c>
      <c r="E20" s="2">
        <v>0.3</v>
      </c>
      <c r="F20" s="2">
        <v>0.3</v>
      </c>
      <c r="G20" s="2">
        <v>0.3</v>
      </c>
      <c r="H20" s="2">
        <v>0.3</v>
      </c>
      <c r="I20" s="104">
        <v>0</v>
      </c>
      <c r="J20" s="104" t="s">
        <v>74</v>
      </c>
      <c r="K20" s="104" t="s">
        <v>74</v>
      </c>
      <c r="L20" s="104" t="s">
        <v>74</v>
      </c>
      <c r="M20" s="104" t="s">
        <v>74</v>
      </c>
      <c r="AC20" s="2" t="s">
        <v>182</v>
      </c>
      <c r="AD20" s="2" t="s">
        <v>182</v>
      </c>
    </row>
    <row r="21" spans="1:30">
      <c r="A21" s="108" t="s">
        <v>159</v>
      </c>
      <c r="B21" s="2">
        <v>5</v>
      </c>
      <c r="C21" s="103" t="s">
        <v>134</v>
      </c>
      <c r="D21" t="s">
        <v>75</v>
      </c>
      <c r="E21" s="2">
        <v>0.1</v>
      </c>
      <c r="F21" s="2">
        <v>0.1</v>
      </c>
      <c r="G21" s="2">
        <v>0.1</v>
      </c>
      <c r="H21" s="2">
        <v>0.1</v>
      </c>
      <c r="I21" s="104">
        <v>0</v>
      </c>
      <c r="J21" s="104" t="s">
        <v>74</v>
      </c>
      <c r="K21" s="104" t="s">
        <v>74</v>
      </c>
      <c r="L21" s="104" t="s">
        <v>74</v>
      </c>
      <c r="M21" s="104" t="s">
        <v>74</v>
      </c>
      <c r="AC21" s="2" t="s">
        <v>182</v>
      </c>
      <c r="AD21" s="2" t="s">
        <v>182</v>
      </c>
    </row>
    <row r="22" spans="1:30">
      <c r="A22" s="108" t="s">
        <v>161</v>
      </c>
      <c r="B22" s="2">
        <v>5</v>
      </c>
      <c r="C22" s="103" t="s">
        <v>98</v>
      </c>
      <c r="D22" t="s">
        <v>75</v>
      </c>
      <c r="E22" s="2">
        <v>0.2</v>
      </c>
      <c r="F22" s="2">
        <v>0.2</v>
      </c>
      <c r="G22" s="2">
        <v>0.2</v>
      </c>
      <c r="H22" s="104">
        <v>0</v>
      </c>
      <c r="I22" s="104" t="s">
        <v>74</v>
      </c>
      <c r="J22" s="104" t="s">
        <v>74</v>
      </c>
      <c r="K22" s="104" t="s">
        <v>74</v>
      </c>
      <c r="L22" s="104" t="s">
        <v>74</v>
      </c>
      <c r="M22" s="104" t="s">
        <v>74</v>
      </c>
      <c r="AC22" s="2" t="s">
        <v>182</v>
      </c>
      <c r="AD22" s="2" t="s">
        <v>182</v>
      </c>
    </row>
    <row r="23" spans="1:30" ht="25.5">
      <c r="A23" s="108" t="s">
        <v>162</v>
      </c>
      <c r="B23" s="2">
        <v>5</v>
      </c>
      <c r="C23" s="103" t="s">
        <v>98</v>
      </c>
      <c r="D23" t="s">
        <v>75</v>
      </c>
      <c r="E23" s="2">
        <v>0.2</v>
      </c>
      <c r="F23" s="2">
        <v>0.2</v>
      </c>
      <c r="G23" s="2">
        <v>0.2</v>
      </c>
      <c r="H23" s="2">
        <v>0.1</v>
      </c>
      <c r="I23" s="2">
        <v>0.1</v>
      </c>
      <c r="J23" s="104">
        <v>0.1</v>
      </c>
      <c r="K23" s="104">
        <v>0.1</v>
      </c>
      <c r="L23" s="104">
        <v>0.1</v>
      </c>
      <c r="M23" s="104">
        <v>0</v>
      </c>
      <c r="AC23" s="2" t="s">
        <v>182</v>
      </c>
      <c r="AD23" s="2" t="s">
        <v>182</v>
      </c>
    </row>
    <row r="24" spans="1:30">
      <c r="A24" s="108" t="s">
        <v>163</v>
      </c>
      <c r="B24" s="2">
        <v>5</v>
      </c>
      <c r="C24" s="103" t="s">
        <v>98</v>
      </c>
      <c r="D24" t="s">
        <v>75</v>
      </c>
      <c r="E24" s="2">
        <v>0.5</v>
      </c>
      <c r="F24" s="2">
        <v>0.5</v>
      </c>
      <c r="G24" s="2">
        <v>0.5</v>
      </c>
      <c r="H24" s="104">
        <v>0</v>
      </c>
      <c r="I24" s="104" t="s">
        <v>74</v>
      </c>
      <c r="J24" s="104" t="s">
        <v>74</v>
      </c>
      <c r="K24" s="104" t="s">
        <v>74</v>
      </c>
      <c r="L24" s="104" t="s">
        <v>74</v>
      </c>
      <c r="M24" s="104" t="s">
        <v>74</v>
      </c>
      <c r="AC24" s="2" t="s">
        <v>182</v>
      </c>
      <c r="AD24" s="2" t="s">
        <v>182</v>
      </c>
    </row>
    <row r="25" spans="1:30">
      <c r="A25" s="108" t="s">
        <v>169</v>
      </c>
      <c r="B25" s="2">
        <v>5</v>
      </c>
      <c r="C25" s="103" t="s">
        <v>98</v>
      </c>
      <c r="D25" t="s">
        <v>75</v>
      </c>
      <c r="E25" s="2">
        <v>0.2</v>
      </c>
      <c r="F25" s="2">
        <v>0.2</v>
      </c>
      <c r="G25" s="2">
        <v>0.2</v>
      </c>
      <c r="H25" s="104">
        <v>0</v>
      </c>
      <c r="I25" s="104" t="s">
        <v>74</v>
      </c>
      <c r="J25" s="104" t="s">
        <v>74</v>
      </c>
      <c r="AC25" s="2" t="s">
        <v>182</v>
      </c>
      <c r="AD25" s="2" t="s">
        <v>182</v>
      </c>
    </row>
    <row r="26" spans="1:30">
      <c r="A26" s="108" t="s">
        <v>170</v>
      </c>
      <c r="B26" s="2">
        <v>5</v>
      </c>
      <c r="C26" s="103" t="s">
        <v>98</v>
      </c>
      <c r="D26" t="s">
        <v>75</v>
      </c>
      <c r="E26" s="2">
        <v>0.2</v>
      </c>
      <c r="F26" s="2">
        <v>0.2</v>
      </c>
      <c r="G26" s="2">
        <v>0.2</v>
      </c>
      <c r="H26" s="104">
        <v>0</v>
      </c>
      <c r="I26" s="104" t="s">
        <v>74</v>
      </c>
      <c r="J26" s="104" t="s">
        <v>74</v>
      </c>
      <c r="K26" s="104" t="s">
        <v>74</v>
      </c>
      <c r="L26" s="104" t="s">
        <v>74</v>
      </c>
      <c r="M26" s="104" t="s">
        <v>74</v>
      </c>
      <c r="AC26" s="2" t="s">
        <v>182</v>
      </c>
      <c r="AD26" s="2" t="s">
        <v>182</v>
      </c>
    </row>
    <row r="27" spans="1:30">
      <c r="A27" s="109" t="s">
        <v>172</v>
      </c>
      <c r="B27" s="2">
        <v>5</v>
      </c>
      <c r="C27" s="103" t="s">
        <v>98</v>
      </c>
      <c r="D27" t="s">
        <v>75</v>
      </c>
      <c r="E27" s="2">
        <v>1</v>
      </c>
      <c r="F27" s="2">
        <v>1</v>
      </c>
      <c r="G27" s="2">
        <v>1</v>
      </c>
      <c r="H27" s="2">
        <v>0.5</v>
      </c>
      <c r="I27" s="2">
        <v>0.2</v>
      </c>
      <c r="J27" s="104">
        <v>0</v>
      </c>
      <c r="K27" s="104" t="s">
        <v>74</v>
      </c>
      <c r="L27" s="104" t="s">
        <v>74</v>
      </c>
      <c r="M27" s="104" t="s">
        <v>74</v>
      </c>
      <c r="AC27" s="2" t="s">
        <v>182</v>
      </c>
      <c r="AD27" s="2" t="s">
        <v>182</v>
      </c>
    </row>
    <row r="28" spans="1:30">
      <c r="A28" s="109" t="s">
        <v>173</v>
      </c>
      <c r="B28" s="2">
        <v>5</v>
      </c>
      <c r="C28" s="103" t="s">
        <v>98</v>
      </c>
      <c r="D28" t="s">
        <v>75</v>
      </c>
      <c r="E28" s="2">
        <v>0.5</v>
      </c>
      <c r="F28" s="2">
        <v>0.5</v>
      </c>
      <c r="G28" s="2">
        <v>0.5</v>
      </c>
      <c r="H28" s="104">
        <v>0</v>
      </c>
      <c r="I28" s="104" t="s">
        <v>74</v>
      </c>
      <c r="J28" s="104" t="s">
        <v>74</v>
      </c>
      <c r="K28" s="104" t="s">
        <v>74</v>
      </c>
      <c r="L28" s="104" t="s">
        <v>74</v>
      </c>
      <c r="M28" s="104" t="s">
        <v>74</v>
      </c>
      <c r="N28" s="2" t="s">
        <v>182</v>
      </c>
      <c r="O28" s="2" t="s">
        <v>182</v>
      </c>
      <c r="P28" s="2" t="s">
        <v>182</v>
      </c>
      <c r="Q28" s="2" t="s">
        <v>182</v>
      </c>
      <c r="R28" s="2" t="s">
        <v>182</v>
      </c>
      <c r="S28" s="2" t="s">
        <v>182</v>
      </c>
      <c r="T28" s="2" t="s">
        <v>182</v>
      </c>
      <c r="U28" s="2" t="s">
        <v>182</v>
      </c>
      <c r="V28" s="2" t="s">
        <v>182</v>
      </c>
      <c r="W28" s="2" t="s">
        <v>182</v>
      </c>
      <c r="X28" s="2" t="s">
        <v>182</v>
      </c>
      <c r="Y28" s="2" t="s">
        <v>182</v>
      </c>
      <c r="Z28" s="2" t="s">
        <v>182</v>
      </c>
      <c r="AA28" s="2" t="s">
        <v>182</v>
      </c>
      <c r="AB28" s="2" t="s">
        <v>182</v>
      </c>
      <c r="AC28" s="2" t="s">
        <v>182</v>
      </c>
      <c r="AD28" s="2" t="s">
        <v>182</v>
      </c>
    </row>
    <row r="29" spans="1:30">
      <c r="A29" s="109" t="s">
        <v>174</v>
      </c>
      <c r="B29" s="2">
        <v>5</v>
      </c>
      <c r="C29" s="103" t="s">
        <v>98</v>
      </c>
      <c r="D29" t="s">
        <v>75</v>
      </c>
      <c r="E29" s="2">
        <v>1</v>
      </c>
      <c r="F29" s="2">
        <v>1</v>
      </c>
      <c r="G29" s="2">
        <v>1</v>
      </c>
      <c r="H29" s="104">
        <v>0</v>
      </c>
      <c r="I29" s="104" t="s">
        <v>74</v>
      </c>
      <c r="J29" s="104" t="s">
        <v>74</v>
      </c>
      <c r="K29" s="104" t="s">
        <v>74</v>
      </c>
      <c r="L29" s="104" t="s">
        <v>74</v>
      </c>
      <c r="M29" s="104" t="s">
        <v>74</v>
      </c>
      <c r="N29" s="2" t="s">
        <v>182</v>
      </c>
      <c r="O29" s="2" t="s">
        <v>182</v>
      </c>
      <c r="P29" s="2" t="s">
        <v>182</v>
      </c>
      <c r="Q29" s="2" t="s">
        <v>182</v>
      </c>
      <c r="R29" s="2" t="s">
        <v>182</v>
      </c>
      <c r="S29" s="2" t="s">
        <v>182</v>
      </c>
      <c r="T29" s="2" t="s">
        <v>182</v>
      </c>
      <c r="U29" s="2" t="s">
        <v>182</v>
      </c>
      <c r="V29" s="2" t="s">
        <v>182</v>
      </c>
      <c r="W29" s="2" t="s">
        <v>182</v>
      </c>
      <c r="X29" s="2" t="s">
        <v>182</v>
      </c>
      <c r="Y29" s="2" t="s">
        <v>182</v>
      </c>
      <c r="Z29" s="2" t="s">
        <v>182</v>
      </c>
      <c r="AA29" s="2" t="s">
        <v>182</v>
      </c>
      <c r="AB29" s="2" t="s">
        <v>182</v>
      </c>
      <c r="AC29" s="2" t="s">
        <v>182</v>
      </c>
      <c r="AD29" s="2" t="s">
        <v>182</v>
      </c>
    </row>
    <row r="30" spans="1:30">
      <c r="A30" s="109" t="s">
        <v>175</v>
      </c>
      <c r="B30" s="2">
        <v>5</v>
      </c>
      <c r="C30" s="103" t="s">
        <v>98</v>
      </c>
      <c r="D30" t="s">
        <v>75</v>
      </c>
      <c r="E30" s="104">
        <v>0.1</v>
      </c>
      <c r="F30" s="104">
        <v>0.1</v>
      </c>
      <c r="G30" s="2">
        <v>0.1</v>
      </c>
      <c r="H30" s="104">
        <v>0</v>
      </c>
      <c r="I30" s="104" t="s">
        <v>74</v>
      </c>
      <c r="J30" s="104" t="s">
        <v>74</v>
      </c>
      <c r="K30" s="104" t="s">
        <v>74</v>
      </c>
      <c r="L30" s="104" t="s">
        <v>74</v>
      </c>
      <c r="M30" s="104" t="s">
        <v>74</v>
      </c>
    </row>
    <row r="31" spans="1:30">
      <c r="A31" s="109" t="s">
        <v>176</v>
      </c>
      <c r="B31" s="2">
        <v>5</v>
      </c>
      <c r="C31" s="103" t="s">
        <v>134</v>
      </c>
      <c r="D31" t="s">
        <v>75</v>
      </c>
      <c r="E31" s="2">
        <v>0.5</v>
      </c>
      <c r="F31" s="2">
        <v>0.5</v>
      </c>
      <c r="G31" s="2">
        <v>0.5</v>
      </c>
      <c r="H31" s="104">
        <v>0</v>
      </c>
      <c r="I31" s="104" t="s">
        <v>74</v>
      </c>
      <c r="J31" s="104" t="s">
        <v>74</v>
      </c>
      <c r="K31" s="104" t="s">
        <v>74</v>
      </c>
      <c r="L31" s="104" t="s">
        <v>74</v>
      </c>
      <c r="M31" s="104" t="s">
        <v>74</v>
      </c>
    </row>
    <row r="32" spans="1:30" ht="25.5">
      <c r="A32" s="109" t="s">
        <v>177</v>
      </c>
      <c r="B32" s="2">
        <v>5</v>
      </c>
      <c r="C32" s="103" t="s">
        <v>178</v>
      </c>
      <c r="D32" t="s">
        <v>76</v>
      </c>
      <c r="E32" s="2">
        <v>0.2</v>
      </c>
      <c r="F32" s="2">
        <v>0.2</v>
      </c>
      <c r="G32" s="2">
        <v>0.2</v>
      </c>
      <c r="H32" s="2">
        <v>0.2</v>
      </c>
      <c r="I32" s="2">
        <v>0.2</v>
      </c>
      <c r="J32" s="104">
        <v>0.1</v>
      </c>
      <c r="K32" s="104">
        <v>0.1</v>
      </c>
      <c r="L32" s="104">
        <v>0.1</v>
      </c>
      <c r="M32" s="104">
        <v>0.1</v>
      </c>
    </row>
    <row r="33" spans="1:30">
      <c r="A33" s="109" t="s">
        <v>179</v>
      </c>
      <c r="B33" s="2">
        <v>5</v>
      </c>
      <c r="C33" s="103" t="s">
        <v>180</v>
      </c>
      <c r="D33" t="s">
        <v>75</v>
      </c>
      <c r="E33" s="2">
        <v>0.3</v>
      </c>
      <c r="F33" s="2">
        <v>0.3</v>
      </c>
      <c r="G33" s="2">
        <v>0.3</v>
      </c>
      <c r="H33" s="2">
        <v>0.3</v>
      </c>
      <c r="I33" s="2">
        <v>0.2</v>
      </c>
      <c r="J33" s="104">
        <v>0</v>
      </c>
      <c r="K33" s="104" t="s">
        <v>74</v>
      </c>
      <c r="L33" s="104" t="s">
        <v>74</v>
      </c>
      <c r="M33" s="104" t="s">
        <v>74</v>
      </c>
    </row>
    <row r="34" spans="1:30">
      <c r="A34" s="109" t="s">
        <v>181</v>
      </c>
      <c r="B34" s="2">
        <v>5</v>
      </c>
      <c r="C34" s="103" t="s">
        <v>98</v>
      </c>
      <c r="D34" t="s">
        <v>75</v>
      </c>
      <c r="E34" s="2">
        <v>0.1</v>
      </c>
      <c r="F34" s="2">
        <v>0.1</v>
      </c>
      <c r="G34" s="2">
        <v>0.1</v>
      </c>
      <c r="H34" s="104">
        <v>0</v>
      </c>
      <c r="I34" s="104" t="s">
        <v>74</v>
      </c>
      <c r="J34" s="104" t="s">
        <v>74</v>
      </c>
      <c r="K34" s="104" t="s">
        <v>74</v>
      </c>
      <c r="L34" s="104" t="s">
        <v>74</v>
      </c>
      <c r="M34" s="104" t="s">
        <v>74</v>
      </c>
    </row>
    <row r="35" spans="1:30">
      <c r="A35" s="109" t="s">
        <v>183</v>
      </c>
      <c r="B35" s="2">
        <v>5</v>
      </c>
      <c r="C35" s="103" t="s">
        <v>98</v>
      </c>
      <c r="D35" t="s">
        <v>76</v>
      </c>
      <c r="E35" s="2">
        <v>3</v>
      </c>
      <c r="F35" s="2">
        <f t="shared" ref="F35:U59" si="6">IF(OR(F$14="",$E35=""),"",E35)</f>
        <v>3</v>
      </c>
      <c r="G35" s="2">
        <v>3</v>
      </c>
      <c r="H35" s="2">
        <v>3</v>
      </c>
      <c r="I35" s="2">
        <v>3</v>
      </c>
      <c r="J35" s="2">
        <v>2</v>
      </c>
      <c r="K35" s="2">
        <v>1</v>
      </c>
      <c r="L35" s="2">
        <v>1</v>
      </c>
      <c r="M35" s="2">
        <v>0.1</v>
      </c>
      <c r="AC35" s="2" t="str">
        <f t="shared" ref="AC35:AD35" si="7">IF(OR(AC$14="",$E35=""),"",AB35)</f>
        <v/>
      </c>
      <c r="AD35" s="2" t="str">
        <f t="shared" si="7"/>
        <v/>
      </c>
    </row>
    <row r="36" spans="1:30">
      <c r="A36" s="109" t="s">
        <v>185</v>
      </c>
      <c r="B36" s="2">
        <v>5</v>
      </c>
      <c r="C36" s="103" t="s">
        <v>98</v>
      </c>
      <c r="D36" t="s">
        <v>75</v>
      </c>
      <c r="E36" s="2">
        <v>2</v>
      </c>
      <c r="F36" s="2">
        <v>2</v>
      </c>
      <c r="G36" s="2">
        <v>2</v>
      </c>
      <c r="H36" s="2">
        <v>2</v>
      </c>
      <c r="I36" s="2">
        <v>2</v>
      </c>
      <c r="J36" s="2">
        <v>0</v>
      </c>
      <c r="AC36" s="2" t="str">
        <f t="shared" ref="AC36:AD55" si="8">IF(OR(AC$14="",$E36=""),"",AB36)</f>
        <v/>
      </c>
      <c r="AD36" s="2" t="str">
        <f t="shared" si="8"/>
        <v/>
      </c>
    </row>
    <row r="37" spans="1:30">
      <c r="A37" s="109" t="s">
        <v>186</v>
      </c>
      <c r="B37" s="2">
        <v>5</v>
      </c>
      <c r="C37" s="103" t="s">
        <v>98</v>
      </c>
      <c r="D37" t="str">
        <f t="shared" ref="D37:D59" si="9">IF(A37&lt;&gt;"","Planned","")</f>
        <v>Planned</v>
      </c>
      <c r="E37" s="2">
        <v>1</v>
      </c>
      <c r="F37" s="2">
        <f t="shared" si="6"/>
        <v>1</v>
      </c>
      <c r="G37" s="2">
        <v>1</v>
      </c>
      <c r="H37" s="2">
        <v>1</v>
      </c>
      <c r="I37" s="2">
        <v>1</v>
      </c>
      <c r="J37" s="2">
        <v>1</v>
      </c>
      <c r="K37" s="2">
        <v>1</v>
      </c>
      <c r="L37" s="2">
        <v>1</v>
      </c>
      <c r="M37" s="2">
        <v>1</v>
      </c>
      <c r="AC37" s="2" t="str">
        <f t="shared" si="8"/>
        <v/>
      </c>
      <c r="AD37" s="2" t="str">
        <f t="shared" si="8"/>
        <v/>
      </c>
    </row>
    <row r="38" spans="1:30">
      <c r="A38" s="109"/>
      <c r="C38" s="103"/>
    </row>
    <row r="39" spans="1:30">
      <c r="D39" t="str">
        <f t="shared" si="9"/>
        <v/>
      </c>
      <c r="F39" s="2" t="str">
        <f t="shared" si="6"/>
        <v/>
      </c>
      <c r="AC39" s="2" t="str">
        <f t="shared" si="8"/>
        <v/>
      </c>
      <c r="AD39" s="2" t="str">
        <f t="shared" si="8"/>
        <v/>
      </c>
    </row>
    <row r="40" spans="1:30">
      <c r="D40" t="str">
        <f t="shared" si="9"/>
        <v/>
      </c>
      <c r="F40" s="2" t="str">
        <f t="shared" si="6"/>
        <v/>
      </c>
      <c r="AC40" s="2" t="str">
        <f t="shared" si="8"/>
        <v/>
      </c>
      <c r="AD40" s="2" t="str">
        <f t="shared" si="8"/>
        <v/>
      </c>
    </row>
    <row r="41" spans="1:30">
      <c r="D41" t="str">
        <f t="shared" si="9"/>
        <v/>
      </c>
      <c r="F41" s="2" t="str">
        <f t="shared" si="6"/>
        <v/>
      </c>
      <c r="AC41" s="2" t="str">
        <f t="shared" si="8"/>
        <v/>
      </c>
      <c r="AD41" s="2" t="str">
        <f t="shared" si="8"/>
        <v/>
      </c>
    </row>
    <row r="42" spans="1:30">
      <c r="D42" t="str">
        <f t="shared" si="9"/>
        <v/>
      </c>
      <c r="F42" s="2" t="str">
        <f t="shared" si="6"/>
        <v/>
      </c>
      <c r="AC42" s="2" t="str">
        <f t="shared" si="8"/>
        <v/>
      </c>
      <c r="AD42" s="2" t="str">
        <f t="shared" si="8"/>
        <v/>
      </c>
    </row>
    <row r="43" spans="1:30">
      <c r="D43" t="str">
        <f t="shared" si="9"/>
        <v/>
      </c>
      <c r="F43" s="2" t="str">
        <f t="shared" si="6"/>
        <v/>
      </c>
      <c r="AC43" s="2" t="str">
        <f t="shared" si="8"/>
        <v/>
      </c>
      <c r="AD43" s="2" t="str">
        <f t="shared" si="8"/>
        <v/>
      </c>
    </row>
    <row r="44" spans="1:30">
      <c r="D44" t="str">
        <f t="shared" si="9"/>
        <v/>
      </c>
      <c r="F44" s="2" t="str">
        <f t="shared" si="6"/>
        <v/>
      </c>
      <c r="AC44" s="2" t="str">
        <f t="shared" si="8"/>
        <v/>
      </c>
      <c r="AD44" s="2" t="str">
        <f t="shared" si="8"/>
        <v/>
      </c>
    </row>
    <row r="45" spans="1:30">
      <c r="D45" t="str">
        <f t="shared" si="9"/>
        <v/>
      </c>
      <c r="F45" s="2" t="str">
        <f t="shared" si="6"/>
        <v/>
      </c>
      <c r="AC45" s="2" t="str">
        <f t="shared" si="8"/>
        <v/>
      </c>
      <c r="AD45" s="2" t="str">
        <f t="shared" si="8"/>
        <v/>
      </c>
    </row>
    <row r="46" spans="1:30">
      <c r="D46" t="str">
        <f t="shared" si="9"/>
        <v/>
      </c>
      <c r="F46" s="2" t="str">
        <f t="shared" si="6"/>
        <v/>
      </c>
      <c r="AC46" s="2" t="str">
        <f t="shared" si="8"/>
        <v/>
      </c>
      <c r="AD46" s="2" t="str">
        <f t="shared" si="8"/>
        <v/>
      </c>
    </row>
    <row r="47" spans="1:30">
      <c r="D47" t="str">
        <f t="shared" si="9"/>
        <v/>
      </c>
      <c r="F47" s="2" t="str">
        <f t="shared" si="6"/>
        <v/>
      </c>
      <c r="AC47" s="2" t="str">
        <f t="shared" si="8"/>
        <v/>
      </c>
      <c r="AD47" s="2" t="str">
        <f t="shared" si="8"/>
        <v/>
      </c>
    </row>
    <row r="48" spans="1:30">
      <c r="D48" t="str">
        <f t="shared" si="9"/>
        <v/>
      </c>
      <c r="F48" s="2" t="str">
        <f t="shared" si="6"/>
        <v/>
      </c>
      <c r="AC48" s="2" t="str">
        <f t="shared" si="8"/>
        <v/>
      </c>
      <c r="AD48" s="2" t="str">
        <f t="shared" si="8"/>
        <v/>
      </c>
    </row>
    <row r="49" spans="4:30">
      <c r="D49" t="str">
        <f t="shared" si="9"/>
        <v/>
      </c>
      <c r="F49" s="2" t="str">
        <f t="shared" si="6"/>
        <v/>
      </c>
      <c r="AC49" s="2" t="str">
        <f t="shared" si="8"/>
        <v/>
      </c>
      <c r="AD49" s="2" t="str">
        <f t="shared" si="8"/>
        <v/>
      </c>
    </row>
    <row r="50" spans="4:30">
      <c r="D50" t="str">
        <f t="shared" si="9"/>
        <v/>
      </c>
      <c r="F50" s="2" t="str">
        <f t="shared" si="6"/>
        <v/>
      </c>
      <c r="AC50" s="2" t="str">
        <f t="shared" si="8"/>
        <v/>
      </c>
      <c r="AD50" s="2" t="str">
        <f t="shared" si="8"/>
        <v/>
      </c>
    </row>
    <row r="51" spans="4:30">
      <c r="D51" t="str">
        <f t="shared" si="9"/>
        <v/>
      </c>
      <c r="F51" s="2" t="str">
        <f t="shared" si="6"/>
        <v/>
      </c>
      <c r="AC51" s="2" t="str">
        <f t="shared" si="8"/>
        <v/>
      </c>
      <c r="AD51" s="2" t="str">
        <f t="shared" si="8"/>
        <v/>
      </c>
    </row>
    <row r="52" spans="4:30">
      <c r="D52" t="str">
        <f t="shared" si="9"/>
        <v/>
      </c>
      <c r="F52" s="2" t="str">
        <f t="shared" si="6"/>
        <v/>
      </c>
      <c r="AC52" s="2" t="str">
        <f t="shared" si="8"/>
        <v/>
      </c>
      <c r="AD52" s="2" t="str">
        <f t="shared" si="8"/>
        <v/>
      </c>
    </row>
    <row r="53" spans="4:30">
      <c r="D53" t="str">
        <f t="shared" si="9"/>
        <v/>
      </c>
      <c r="F53" s="2" t="str">
        <f t="shared" si="6"/>
        <v/>
      </c>
      <c r="AC53" s="2" t="str">
        <f t="shared" si="8"/>
        <v/>
      </c>
      <c r="AD53" s="2" t="str">
        <f t="shared" si="8"/>
        <v/>
      </c>
    </row>
    <row r="54" spans="4:30">
      <c r="D54" t="str">
        <f t="shared" si="9"/>
        <v/>
      </c>
      <c r="F54" s="2" t="str">
        <f t="shared" si="6"/>
        <v/>
      </c>
      <c r="AC54" s="2" t="str">
        <f t="shared" si="8"/>
        <v/>
      </c>
      <c r="AD54" s="2" t="str">
        <f t="shared" si="8"/>
        <v/>
      </c>
    </row>
    <row r="55" spans="4:30">
      <c r="D55" t="str">
        <f t="shared" si="9"/>
        <v/>
      </c>
      <c r="F55" s="2" t="str">
        <f t="shared" si="6"/>
        <v/>
      </c>
      <c r="AC55" s="2" t="str">
        <f t="shared" si="8"/>
        <v/>
      </c>
      <c r="AD55" s="2" t="str">
        <f t="shared" si="8"/>
        <v/>
      </c>
    </row>
    <row r="56" spans="4:30">
      <c r="D56" t="str">
        <f t="shared" si="9"/>
        <v/>
      </c>
      <c r="F56" s="2" t="str">
        <f t="shared" si="6"/>
        <v/>
      </c>
      <c r="AC56" s="2" t="str">
        <f t="shared" ref="AC56:AD59" si="10">IF(OR(AC$14="",$E56=""),"",AB56)</f>
        <v/>
      </c>
      <c r="AD56" s="2" t="str">
        <f t="shared" si="10"/>
        <v/>
      </c>
    </row>
    <row r="57" spans="4:30">
      <c r="D57" t="str">
        <f t="shared" si="9"/>
        <v/>
      </c>
      <c r="F57" s="2" t="str">
        <f t="shared" si="6"/>
        <v/>
      </c>
      <c r="AC57" s="2" t="str">
        <f t="shared" si="10"/>
        <v/>
      </c>
      <c r="AD57" s="2" t="str">
        <f t="shared" si="10"/>
        <v/>
      </c>
    </row>
    <row r="58" spans="4:30">
      <c r="D58" t="str">
        <f t="shared" si="9"/>
        <v/>
      </c>
      <c r="F58" s="2" t="str">
        <f t="shared" si="6"/>
        <v/>
      </c>
      <c r="G58" s="2" t="str">
        <f t="shared" si="6"/>
        <v/>
      </c>
      <c r="H58" s="2" t="str">
        <f t="shared" si="6"/>
        <v/>
      </c>
      <c r="I58" s="2" t="str">
        <f t="shared" si="6"/>
        <v/>
      </c>
      <c r="J58" s="2" t="str">
        <f t="shared" si="6"/>
        <v/>
      </c>
      <c r="K58" s="2" t="str">
        <f t="shared" si="6"/>
        <v/>
      </c>
      <c r="L58" s="2" t="str">
        <f t="shared" si="6"/>
        <v/>
      </c>
      <c r="M58" s="2" t="str">
        <f t="shared" si="6"/>
        <v/>
      </c>
      <c r="N58" s="2" t="str">
        <f t="shared" si="6"/>
        <v/>
      </c>
      <c r="O58" s="2" t="str">
        <f t="shared" si="6"/>
        <v/>
      </c>
      <c r="P58" s="2" t="str">
        <f t="shared" si="6"/>
        <v/>
      </c>
      <c r="Q58" s="2" t="str">
        <f t="shared" si="6"/>
        <v/>
      </c>
      <c r="R58" s="2" t="str">
        <f t="shared" si="6"/>
        <v/>
      </c>
      <c r="S58" s="2" t="str">
        <f t="shared" si="6"/>
        <v/>
      </c>
      <c r="T58" s="2" t="str">
        <f t="shared" si="6"/>
        <v/>
      </c>
      <c r="U58" s="2" t="str">
        <f t="shared" si="6"/>
        <v/>
      </c>
      <c r="V58" s="2" t="str">
        <f t="shared" ref="V58:AB59" si="11">IF(OR(V$14="",$E58=""),"",U58)</f>
        <v/>
      </c>
      <c r="W58" s="2" t="str">
        <f t="shared" si="11"/>
        <v/>
      </c>
      <c r="X58" s="2" t="str">
        <f t="shared" si="11"/>
        <v/>
      </c>
      <c r="Y58" s="2" t="str">
        <f t="shared" si="11"/>
        <v/>
      </c>
      <c r="Z58" s="2" t="str">
        <f t="shared" si="11"/>
        <v/>
      </c>
      <c r="AA58" s="2" t="str">
        <f t="shared" si="11"/>
        <v/>
      </c>
      <c r="AB58" s="2" t="str">
        <f t="shared" si="11"/>
        <v/>
      </c>
      <c r="AC58" s="2" t="str">
        <f t="shared" si="10"/>
        <v/>
      </c>
      <c r="AD58" s="2" t="str">
        <f t="shared" si="10"/>
        <v/>
      </c>
    </row>
    <row r="59" spans="4:30">
      <c r="D59" t="str">
        <f t="shared" si="9"/>
        <v/>
      </c>
      <c r="F59" s="2" t="str">
        <f t="shared" si="6"/>
        <v/>
      </c>
      <c r="G59" s="2" t="str">
        <f t="shared" si="6"/>
        <v/>
      </c>
      <c r="H59" s="2" t="str">
        <f t="shared" si="6"/>
        <v/>
      </c>
      <c r="I59" s="2" t="str">
        <f t="shared" si="6"/>
        <v/>
      </c>
      <c r="J59" s="2" t="str">
        <f t="shared" si="6"/>
        <v/>
      </c>
      <c r="K59" s="2" t="str">
        <f t="shared" si="6"/>
        <v/>
      </c>
      <c r="L59" s="2" t="str">
        <f t="shared" si="6"/>
        <v/>
      </c>
      <c r="M59" s="2" t="str">
        <f t="shared" si="6"/>
        <v/>
      </c>
      <c r="N59" s="2" t="str">
        <f t="shared" si="6"/>
        <v/>
      </c>
      <c r="O59" s="2" t="str">
        <f t="shared" si="6"/>
        <v/>
      </c>
      <c r="P59" s="2" t="str">
        <f t="shared" si="6"/>
        <v/>
      </c>
      <c r="Q59" s="2" t="str">
        <f t="shared" si="6"/>
        <v/>
      </c>
      <c r="R59" s="2" t="str">
        <f t="shared" si="6"/>
        <v/>
      </c>
      <c r="S59" s="2" t="str">
        <f t="shared" si="6"/>
        <v/>
      </c>
      <c r="T59" s="2" t="str">
        <f t="shared" si="6"/>
        <v/>
      </c>
      <c r="U59" s="2" t="str">
        <f t="shared" si="6"/>
        <v/>
      </c>
      <c r="V59" s="2" t="str">
        <f t="shared" si="11"/>
        <v/>
      </c>
      <c r="W59" s="2" t="str">
        <f t="shared" si="11"/>
        <v/>
      </c>
      <c r="X59" s="2" t="str">
        <f t="shared" si="11"/>
        <v/>
      </c>
      <c r="Y59" s="2" t="str">
        <f t="shared" si="11"/>
        <v/>
      </c>
      <c r="Z59" s="2" t="str">
        <f t="shared" si="11"/>
        <v/>
      </c>
      <c r="AA59" s="2" t="str">
        <f t="shared" si="11"/>
        <v/>
      </c>
      <c r="AB59" s="2" t="str">
        <f t="shared" si="11"/>
        <v/>
      </c>
      <c r="AC59" s="2" t="str">
        <f t="shared" si="10"/>
        <v/>
      </c>
      <c r="AD59" s="2" t="str">
        <f t="shared" si="10"/>
        <v/>
      </c>
    </row>
    <row r="64" spans="4:30">
      <c r="D64" t="str">
        <f>IF(A64&lt;&gt;"","Planned","")</f>
        <v/>
      </c>
    </row>
  </sheetData>
  <conditionalFormatting sqref="J15:AD18 A19:AD58">
    <cfRule type="expression" dxfId="219" priority="13" stopIfTrue="1">
      <formula>$D15="Done"</formula>
    </cfRule>
    <cfRule type="expression" dxfId="218" priority="14" stopIfTrue="1">
      <formula>$D15="Ongoing"</formula>
    </cfRule>
  </conditionalFormatting>
  <conditionalFormatting sqref="A15:I18">
    <cfRule type="expression" dxfId="217" priority="11" stopIfTrue="1">
      <formula>$D15="Done"</formula>
    </cfRule>
    <cfRule type="expression" dxfId="216" priority="12" stopIfTrue="1">
      <formula>$D15="Ongoing"</formula>
    </cfRule>
  </conditionalFormatting>
  <conditionalFormatting sqref="J15:AD15">
    <cfRule type="expression" dxfId="215" priority="9" stopIfTrue="1">
      <formula>$D15="Done"</formula>
    </cfRule>
    <cfRule type="expression" dxfId="214" priority="10" stopIfTrue="1">
      <formula>$D15="Ongoing"</formula>
    </cfRule>
  </conditionalFormatting>
  <conditionalFormatting sqref="B15:I15">
    <cfRule type="expression" dxfId="213" priority="7" stopIfTrue="1">
      <formula>$D15="Done"</formula>
    </cfRule>
    <cfRule type="expression" dxfId="212" priority="8" stopIfTrue="1">
      <formula>$D15="Ongoing"</formula>
    </cfRule>
  </conditionalFormatting>
  <conditionalFormatting sqref="J16:AD16 A17:AD28 C29 C30:D32 C33 A29:A34 C34:D34">
    <cfRule type="expression" dxfId="211" priority="5" stopIfTrue="1">
      <formula>$D16="Done"</formula>
    </cfRule>
    <cfRule type="expression" dxfId="210" priority="6" stopIfTrue="1">
      <formula>$D16="Ongoing"</formula>
    </cfRule>
  </conditionalFormatting>
  <conditionalFormatting sqref="A16:I16">
    <cfRule type="expression" dxfId="209" priority="3" stopIfTrue="1">
      <formula>$D16="Done"</formula>
    </cfRule>
    <cfRule type="expression" dxfId="208" priority="4" stopIfTrue="1">
      <formula>$D16="Ongoing"</formula>
    </cfRule>
  </conditionalFormatting>
  <conditionalFormatting sqref="A16">
    <cfRule type="expression" dxfId="207" priority="1" stopIfTrue="1">
      <formula>$D16="Done"</formula>
    </cfRule>
    <cfRule type="expression" dxfId="206" priority="2" stopIfTrue="1">
      <formula>$D16="Ongoing"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AD64"/>
  <sheetViews>
    <sheetView workbookViewId="0">
      <pane ySplit="14" topLeftCell="A15" activePane="bottomLeft" state="frozen"/>
      <selection pane="bottomLeft" activeCell="D27" sqref="D27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6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33.200000000000003</v>
      </c>
      <c r="F10" s="17">
        <f ca="1">IF(AND(SUM(OFFSET(F14,1,0,TaskRows,1))=0),0,SUM(OFFSET(F14,1,0,TaskRows,1)))</f>
        <v>33.200000000000003</v>
      </c>
      <c r="G10" s="17">
        <f t="shared" ref="G10:AD10" ca="1" si="0">IF(AND(SUM(OFFSET(G14,1,0,TaskRows,1))=0),"",SUM(OFFSET(G14,1,0,TaskRows,1)))</f>
        <v>31.7</v>
      </c>
      <c r="H10" s="17">
        <f t="shared" ca="1" si="0"/>
        <v>30.7</v>
      </c>
      <c r="I10" s="17">
        <f t="shared" ca="1" si="0"/>
        <v>28.2</v>
      </c>
      <c r="J10" s="17">
        <f t="shared" ca="1" si="0"/>
        <v>24.7</v>
      </c>
      <c r="K10" s="17">
        <f t="shared" ca="1" si="0"/>
        <v>22.7</v>
      </c>
      <c r="L10" s="17">
        <f t="shared" ca="1" si="0"/>
        <v>21.7</v>
      </c>
      <c r="M10" s="17">
        <f t="shared" ca="1" si="0"/>
        <v>20.7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9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33.200000000000003</v>
      </c>
      <c r="G11" s="2">
        <f t="shared" ref="G11:AD11" ca="1" si="1">IF(G14="","",TotalEffort-TotalEffort/(ImplementationDays)*(G14-1))</f>
        <v>29.050000000000004</v>
      </c>
      <c r="H11" s="2">
        <f t="shared" ca="1" si="1"/>
        <v>24.900000000000002</v>
      </c>
      <c r="I11" s="2">
        <f t="shared" ca="1" si="1"/>
        <v>20.75</v>
      </c>
      <c r="J11" s="2">
        <f t="shared" ca="1" si="1"/>
        <v>16.600000000000001</v>
      </c>
      <c r="K11" s="2">
        <f t="shared" ca="1" si="1"/>
        <v>12.450000000000003</v>
      </c>
      <c r="L11" s="2">
        <f t="shared" ca="1" si="1"/>
        <v>8.3000000000000007</v>
      </c>
      <c r="M11" s="2">
        <f t="shared" ca="1" si="1"/>
        <v>4.1499999999999986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32.6</v>
      </c>
      <c r="G12" s="2">
        <f t="shared" ca="1" si="2"/>
        <v>30.8</v>
      </c>
      <c r="H12" s="2">
        <f t="shared" ca="1" si="2"/>
        <v>29</v>
      </c>
      <c r="I12" s="2">
        <f t="shared" ca="1" si="2"/>
        <v>27.2</v>
      </c>
      <c r="J12" s="2">
        <f t="shared" ca="1" si="2"/>
        <v>25.4</v>
      </c>
      <c r="K12" s="2">
        <f t="shared" ca="1" si="2"/>
        <v>23.6</v>
      </c>
      <c r="L12" s="2">
        <f t="shared" ca="1" si="2"/>
        <v>21.8</v>
      </c>
      <c r="M12" s="2">
        <f t="shared" ca="1" si="2"/>
        <v>20</v>
      </c>
      <c r="N12" s="2">
        <f t="shared" ca="1" si="2"/>
        <v>18.200000000000003</v>
      </c>
      <c r="O12" s="2">
        <f t="shared" ca="1" si="2"/>
        <v>16.400000000000002</v>
      </c>
      <c r="P12" s="2">
        <f t="shared" ca="1" si="2"/>
        <v>14.600000000000001</v>
      </c>
      <c r="Q12" s="2">
        <f t="shared" ca="1" si="2"/>
        <v>12.800000000000004</v>
      </c>
      <c r="R12" s="2">
        <f t="shared" ca="1" si="2"/>
        <v>11.000000000000004</v>
      </c>
      <c r="S12" s="2">
        <f t="shared" ca="1" si="2"/>
        <v>9.2000000000000028</v>
      </c>
      <c r="T12" s="2">
        <f t="shared" ca="1" si="2"/>
        <v>7.4000000000000057</v>
      </c>
      <c r="U12" s="2">
        <f t="shared" ca="1" si="2"/>
        <v>5.600000000000005</v>
      </c>
      <c r="V12" s="2">
        <f t="shared" ca="1" si="2"/>
        <v>3.8000000000000043</v>
      </c>
      <c r="W12" s="2">
        <f t="shared" ca="1" si="2"/>
        <v>2.0000000000000071</v>
      </c>
      <c r="X12" s="2">
        <f t="shared" ca="1" si="2"/>
        <v>0.20000000000000284</v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187</v>
      </c>
      <c r="B15" s="2">
        <v>7</v>
      </c>
      <c r="C15" s="103" t="s">
        <v>98</v>
      </c>
      <c r="D15" t="s">
        <v>75</v>
      </c>
      <c r="E15" s="2">
        <v>10</v>
      </c>
      <c r="F15" s="2">
        <f t="shared" ref="F15:U59" si="4">IF(OR(F$14="",$E15=""),"",E15)</f>
        <v>10</v>
      </c>
      <c r="G15" s="2">
        <v>9</v>
      </c>
      <c r="H15" s="2">
        <v>8</v>
      </c>
      <c r="I15" s="2">
        <v>6</v>
      </c>
      <c r="J15" s="2">
        <v>4</v>
      </c>
      <c r="K15" s="2">
        <v>2</v>
      </c>
      <c r="L15" s="2">
        <v>1</v>
      </c>
      <c r="M15" s="2">
        <v>0</v>
      </c>
    </row>
    <row r="16" spans="1:30">
      <c r="A16" s="103" t="s">
        <v>188</v>
      </c>
      <c r="B16" s="2">
        <v>7</v>
      </c>
      <c r="C16" s="103" t="s">
        <v>189</v>
      </c>
      <c r="D16" t="str">
        <f t="shared" ref="D16:D59" si="5">IF(A16&lt;&gt;"","Planned","")</f>
        <v>Planned</v>
      </c>
      <c r="E16" s="2">
        <v>3</v>
      </c>
      <c r="F16" s="2">
        <f t="shared" si="4"/>
        <v>3</v>
      </c>
      <c r="G16" s="2">
        <v>3</v>
      </c>
      <c r="H16" s="2">
        <v>3</v>
      </c>
      <c r="I16" s="2">
        <v>3</v>
      </c>
      <c r="J16" s="2">
        <v>3</v>
      </c>
      <c r="K16" s="2">
        <v>3</v>
      </c>
      <c r="L16" s="2">
        <v>3</v>
      </c>
      <c r="M16" s="2">
        <v>3</v>
      </c>
      <c r="AC16" s="2" t="str">
        <f t="shared" ref="AC16:AD35" si="6">IF(OR(AC$14="",$E16=""),"",AB16)</f>
        <v/>
      </c>
      <c r="AD16" s="2" t="str">
        <f t="shared" si="6"/>
        <v/>
      </c>
    </row>
    <row r="17" spans="1:30" ht="25.5">
      <c r="A17" s="109" t="s">
        <v>177</v>
      </c>
      <c r="B17" s="2">
        <v>5</v>
      </c>
      <c r="C17" s="103" t="s">
        <v>180</v>
      </c>
      <c r="D17" t="s">
        <v>76</v>
      </c>
      <c r="E17" s="2">
        <v>0.1</v>
      </c>
      <c r="F17" s="2">
        <f t="shared" si="4"/>
        <v>0.1</v>
      </c>
      <c r="G17" s="2">
        <v>0.1</v>
      </c>
      <c r="H17" s="2">
        <v>0.1</v>
      </c>
      <c r="I17" s="2">
        <v>0.1</v>
      </c>
      <c r="J17" s="2">
        <v>0.1</v>
      </c>
      <c r="K17" s="2">
        <v>0.1</v>
      </c>
      <c r="L17" s="2">
        <v>0.1</v>
      </c>
      <c r="M17" s="2">
        <v>0.1</v>
      </c>
      <c r="AC17" s="2" t="str">
        <f t="shared" si="6"/>
        <v/>
      </c>
      <c r="AD17" s="2" t="str">
        <f t="shared" si="6"/>
        <v/>
      </c>
    </row>
    <row r="18" spans="1:30">
      <c r="A18" s="109" t="s">
        <v>183</v>
      </c>
      <c r="B18" s="2">
        <v>5</v>
      </c>
      <c r="C18" s="103" t="s">
        <v>98</v>
      </c>
      <c r="D18" t="s">
        <v>76</v>
      </c>
      <c r="E18" s="2">
        <v>0.1</v>
      </c>
      <c r="F18" s="2">
        <f t="shared" si="4"/>
        <v>0.1</v>
      </c>
      <c r="G18" s="2">
        <v>0.1</v>
      </c>
      <c r="H18" s="2">
        <v>0.1</v>
      </c>
      <c r="I18" s="2">
        <v>0.1</v>
      </c>
      <c r="J18" s="2">
        <v>0.1</v>
      </c>
      <c r="K18" s="2">
        <v>0.1</v>
      </c>
      <c r="L18" s="2">
        <v>0.1</v>
      </c>
      <c r="M18" s="2">
        <v>0.1</v>
      </c>
      <c r="AC18" s="2" t="str">
        <f t="shared" si="6"/>
        <v/>
      </c>
      <c r="AD18" s="2" t="str">
        <f t="shared" si="6"/>
        <v/>
      </c>
    </row>
    <row r="19" spans="1:30">
      <c r="A19" s="103" t="s">
        <v>190</v>
      </c>
      <c r="B19" s="2">
        <v>5</v>
      </c>
      <c r="C19" s="103" t="s">
        <v>98</v>
      </c>
      <c r="D19" t="str">
        <f t="shared" si="5"/>
        <v>Planned</v>
      </c>
      <c r="E19" s="2">
        <v>1</v>
      </c>
      <c r="F19" s="2">
        <f t="shared" si="4"/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  <c r="L19" s="2">
        <v>1</v>
      </c>
      <c r="M19" s="2">
        <v>1</v>
      </c>
      <c r="AC19" s="2" t="str">
        <f t="shared" si="6"/>
        <v/>
      </c>
      <c r="AD19" s="2" t="str">
        <f t="shared" si="6"/>
        <v/>
      </c>
    </row>
    <row r="20" spans="1:30">
      <c r="A20" s="103" t="s">
        <v>191</v>
      </c>
      <c r="B20" s="2">
        <v>7</v>
      </c>
      <c r="C20" s="103" t="s">
        <v>148</v>
      </c>
      <c r="D20" t="str">
        <f t="shared" si="5"/>
        <v>Planned</v>
      </c>
      <c r="E20" s="2">
        <v>10</v>
      </c>
      <c r="F20" s="2">
        <f t="shared" si="4"/>
        <v>10</v>
      </c>
      <c r="G20" s="2">
        <v>10</v>
      </c>
      <c r="H20" s="2">
        <v>10</v>
      </c>
      <c r="I20" s="2">
        <v>10</v>
      </c>
      <c r="J20" s="2">
        <v>10</v>
      </c>
      <c r="K20" s="2">
        <v>10</v>
      </c>
      <c r="L20" s="2">
        <v>10</v>
      </c>
      <c r="M20" s="2">
        <v>10</v>
      </c>
      <c r="AC20" s="2" t="str">
        <f t="shared" si="6"/>
        <v/>
      </c>
      <c r="AD20" s="2" t="str">
        <f t="shared" si="6"/>
        <v/>
      </c>
    </row>
    <row r="21" spans="1:30">
      <c r="A21" s="103" t="s">
        <v>192</v>
      </c>
      <c r="B21" s="2">
        <v>7</v>
      </c>
      <c r="C21" s="103" t="s">
        <v>193</v>
      </c>
      <c r="D21" t="str">
        <f t="shared" si="5"/>
        <v>Planned</v>
      </c>
      <c r="E21" s="2">
        <v>3</v>
      </c>
      <c r="F21" s="2">
        <f t="shared" si="4"/>
        <v>3</v>
      </c>
      <c r="G21" s="2">
        <v>3</v>
      </c>
      <c r="H21" s="2">
        <v>3</v>
      </c>
      <c r="I21" s="2">
        <v>3</v>
      </c>
      <c r="J21" s="2">
        <v>3</v>
      </c>
      <c r="K21" s="2">
        <v>3</v>
      </c>
      <c r="L21" s="2">
        <v>3</v>
      </c>
      <c r="M21" s="2">
        <v>3</v>
      </c>
      <c r="AC21" s="2" t="str">
        <f t="shared" si="6"/>
        <v/>
      </c>
      <c r="AD21" s="2" t="str">
        <f t="shared" si="6"/>
        <v/>
      </c>
    </row>
    <row r="22" spans="1:30">
      <c r="A22" s="103" t="s">
        <v>194</v>
      </c>
      <c r="B22" s="2">
        <v>7</v>
      </c>
      <c r="C22" s="103" t="s">
        <v>98</v>
      </c>
      <c r="D22" t="s">
        <v>75</v>
      </c>
      <c r="E22" s="2">
        <v>2</v>
      </c>
      <c r="F22" s="2">
        <f t="shared" si="4"/>
        <v>2</v>
      </c>
      <c r="G22" s="2">
        <v>1.5</v>
      </c>
      <c r="H22" s="2">
        <v>1.5</v>
      </c>
      <c r="I22" s="2">
        <v>1</v>
      </c>
      <c r="J22" s="2">
        <v>0</v>
      </c>
      <c r="AC22" s="2" t="str">
        <f t="shared" si="6"/>
        <v/>
      </c>
      <c r="AD22" s="2" t="str">
        <f t="shared" si="6"/>
        <v/>
      </c>
    </row>
    <row r="23" spans="1:30">
      <c r="A23" s="103" t="s">
        <v>195</v>
      </c>
      <c r="B23" s="2">
        <v>7</v>
      </c>
      <c r="C23" s="103" t="s">
        <v>98</v>
      </c>
      <c r="D23" t="s">
        <v>76</v>
      </c>
      <c r="E23" s="2">
        <v>4</v>
      </c>
      <c r="F23" s="2">
        <f t="shared" si="4"/>
        <v>4</v>
      </c>
      <c r="G23" s="2">
        <v>4</v>
      </c>
      <c r="H23" s="2">
        <v>4</v>
      </c>
      <c r="I23" s="2">
        <v>4</v>
      </c>
      <c r="J23" s="2">
        <v>3.5</v>
      </c>
      <c r="K23" s="2">
        <v>3.5</v>
      </c>
      <c r="L23" s="2">
        <v>3.5</v>
      </c>
      <c r="M23" s="2">
        <v>3.5</v>
      </c>
      <c r="AC23" s="2" t="str">
        <f t="shared" si="6"/>
        <v/>
      </c>
      <c r="AD23" s="2" t="str">
        <f t="shared" si="6"/>
        <v/>
      </c>
    </row>
    <row r="24" spans="1:30">
      <c r="D24" t="str">
        <f t="shared" si="5"/>
        <v/>
      </c>
      <c r="F24" s="2" t="str">
        <f t="shared" si="4"/>
        <v/>
      </c>
      <c r="AC24" s="2" t="str">
        <f t="shared" si="6"/>
        <v/>
      </c>
      <c r="AD24" s="2" t="str">
        <f t="shared" si="6"/>
        <v/>
      </c>
    </row>
    <row r="25" spans="1:30">
      <c r="D25" t="str">
        <f t="shared" si="5"/>
        <v/>
      </c>
      <c r="F25" s="2" t="str">
        <f t="shared" si="4"/>
        <v/>
      </c>
      <c r="AC25" s="2" t="str">
        <f t="shared" si="6"/>
        <v/>
      </c>
      <c r="AD25" s="2" t="str">
        <f t="shared" si="6"/>
        <v/>
      </c>
    </row>
    <row r="26" spans="1:30">
      <c r="D26" t="str">
        <f t="shared" si="5"/>
        <v/>
      </c>
      <c r="F26" s="2" t="str">
        <f t="shared" si="4"/>
        <v/>
      </c>
      <c r="AC26" s="2" t="str">
        <f t="shared" si="6"/>
        <v/>
      </c>
      <c r="AD26" s="2" t="str">
        <f t="shared" si="6"/>
        <v/>
      </c>
    </row>
    <row r="27" spans="1:30">
      <c r="D27" t="str">
        <f t="shared" si="5"/>
        <v/>
      </c>
      <c r="F27" s="2" t="str">
        <f t="shared" si="4"/>
        <v/>
      </c>
      <c r="AC27" s="2" t="str">
        <f t="shared" si="6"/>
        <v/>
      </c>
      <c r="AD27" s="2" t="str">
        <f t="shared" si="6"/>
        <v/>
      </c>
    </row>
    <row r="28" spans="1:30">
      <c r="D28" t="str">
        <f t="shared" si="5"/>
        <v/>
      </c>
      <c r="F28" s="2" t="str">
        <f t="shared" si="4"/>
        <v/>
      </c>
      <c r="AC28" s="2" t="str">
        <f t="shared" si="6"/>
        <v/>
      </c>
      <c r="AD28" s="2" t="str">
        <f t="shared" si="6"/>
        <v/>
      </c>
    </row>
    <row r="29" spans="1:30">
      <c r="D29" t="str">
        <f t="shared" si="5"/>
        <v/>
      </c>
      <c r="F29" s="2" t="str">
        <f t="shared" si="4"/>
        <v/>
      </c>
      <c r="AC29" s="2" t="str">
        <f t="shared" si="6"/>
        <v/>
      </c>
      <c r="AD29" s="2" t="str">
        <f t="shared" si="6"/>
        <v/>
      </c>
    </row>
    <row r="30" spans="1:30">
      <c r="D30" t="str">
        <f t="shared" si="5"/>
        <v/>
      </c>
      <c r="F30" s="2" t="str">
        <f t="shared" si="4"/>
        <v/>
      </c>
      <c r="AC30" s="2" t="str">
        <f t="shared" si="6"/>
        <v/>
      </c>
      <c r="AD30" s="2" t="str">
        <f t="shared" si="6"/>
        <v/>
      </c>
    </row>
    <row r="31" spans="1:30">
      <c r="D31" t="str">
        <f t="shared" si="5"/>
        <v/>
      </c>
      <c r="F31" s="2" t="str">
        <f t="shared" si="4"/>
        <v/>
      </c>
      <c r="AC31" s="2" t="str">
        <f t="shared" si="6"/>
        <v/>
      </c>
      <c r="AD31" s="2" t="str">
        <f t="shared" si="6"/>
        <v/>
      </c>
    </row>
    <row r="32" spans="1:30">
      <c r="D32" t="str">
        <f t="shared" si="5"/>
        <v/>
      </c>
      <c r="F32" s="2" t="str">
        <f t="shared" si="4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5"/>
        <v/>
      </c>
      <c r="F33" s="2" t="str">
        <f t="shared" si="4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5"/>
        <v/>
      </c>
      <c r="F34" s="2" t="str">
        <f t="shared" si="4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5"/>
        <v/>
      </c>
      <c r="F35" s="2" t="str">
        <f t="shared" si="4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5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5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5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5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5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5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5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5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5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5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5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5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5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5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5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5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5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5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5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5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5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5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5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5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205" priority="9" stopIfTrue="1">
      <formula>$D15="Done"</formula>
    </cfRule>
    <cfRule type="expression" dxfId="204" priority="10" stopIfTrue="1">
      <formula>$D15="Ongoing"</formula>
    </cfRule>
  </conditionalFormatting>
  <conditionalFormatting sqref="A15:I18">
    <cfRule type="expression" dxfId="203" priority="7" stopIfTrue="1">
      <formula>$D15="Done"</formula>
    </cfRule>
    <cfRule type="expression" dxfId="202" priority="8" stopIfTrue="1">
      <formula>$D15="Ongoing"</formula>
    </cfRule>
  </conditionalFormatting>
  <conditionalFormatting sqref="A17">
    <cfRule type="expression" dxfId="201" priority="5" stopIfTrue="1">
      <formula>$D17="Done"</formula>
    </cfRule>
    <cfRule type="expression" dxfId="200" priority="6" stopIfTrue="1">
      <formula>$D17="Ongoing"</formula>
    </cfRule>
  </conditionalFormatting>
  <conditionalFormatting sqref="A17">
    <cfRule type="expression" dxfId="199" priority="3" stopIfTrue="1">
      <formula>$D17="Done"</formula>
    </cfRule>
    <cfRule type="expression" dxfId="198" priority="4" stopIfTrue="1">
      <formula>$D17="Ongoing"</formula>
    </cfRule>
  </conditionalFormatting>
  <conditionalFormatting sqref="A18">
    <cfRule type="expression" dxfId="197" priority="1" stopIfTrue="1">
      <formula>$D18="Done"</formula>
    </cfRule>
    <cfRule type="expression" dxfId="196" priority="2" stopIfTrue="1">
      <formula>$D18="Ongoing"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/>
  <dimension ref="A1:AD62"/>
  <sheetViews>
    <sheetView workbookViewId="0">
      <pane ySplit="14" topLeftCell="A15" activePane="bottomLeft" state="frozen"/>
      <selection pane="bottomLeft" activeCell="E26" sqref="E26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7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22.5</v>
      </c>
      <c r="F10" s="17">
        <f ca="1">IF(AND(SUM(OFFSET(F14,1,0,TaskRows,1))=0),0,SUM(OFFSET(F14,1,0,TaskRows,1)))</f>
        <v>21.5</v>
      </c>
      <c r="G10" s="17">
        <f t="shared" ref="G10:AD10" ca="1" si="0">IF(AND(SUM(OFFSET(G14,1,0,TaskRows,1))=0),"",SUM(OFFSET(G14,1,0,TaskRows,1)))</f>
        <v>20.2</v>
      </c>
      <c r="H10" s="17">
        <f t="shared" ca="1" si="0"/>
        <v>19.100000000000001</v>
      </c>
      <c r="I10" s="17">
        <f t="shared" ca="1" si="0"/>
        <v>17.600000000000001</v>
      </c>
      <c r="J10" s="17">
        <f t="shared" ca="1" si="0"/>
        <v>16.100000000000001</v>
      </c>
      <c r="K10" s="17">
        <f t="shared" ca="1" si="0"/>
        <v>11.6</v>
      </c>
      <c r="L10" s="17">
        <f t="shared" ca="1" si="0"/>
        <v>7.1</v>
      </c>
      <c r="M10" s="17">
        <f t="shared" ca="1" si="0"/>
        <v>5.0999999999999996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IF(COUNTA(A15:A240)=0,1,COUNTA(A15:A240))</f>
        <v>10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22.5</v>
      </c>
      <c r="G11" s="2">
        <f t="shared" ref="G11:AD11" ca="1" si="1">IF(G14="","",TotalEffort-TotalEffort/(ImplementationDays)*(G14-1))</f>
        <v>19.6875</v>
      </c>
      <c r="H11" s="2">
        <f t="shared" ca="1" si="1"/>
        <v>16.875</v>
      </c>
      <c r="I11" s="2">
        <f t="shared" ca="1" si="1"/>
        <v>14.0625</v>
      </c>
      <c r="J11" s="2">
        <f t="shared" ca="1" si="1"/>
        <v>11.25</v>
      </c>
      <c r="K11" s="2">
        <f t="shared" ca="1" si="1"/>
        <v>8.4375</v>
      </c>
      <c r="L11" s="2">
        <f t="shared" ca="1" si="1"/>
        <v>5.625</v>
      </c>
      <c r="M11" s="2">
        <f t="shared" ca="1" si="1"/>
        <v>2.8125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28.500000000000007</v>
      </c>
      <c r="G12" s="2">
        <f t="shared" ca="1" si="2"/>
        <v>25.100000000000005</v>
      </c>
      <c r="H12" s="2">
        <f t="shared" ca="1" si="2"/>
        <v>21.700000000000003</v>
      </c>
      <c r="I12" s="2">
        <f t="shared" ca="1" si="2"/>
        <v>18.300000000000004</v>
      </c>
      <c r="J12" s="2">
        <f t="shared" ca="1" si="2"/>
        <v>14.900000000000006</v>
      </c>
      <c r="K12" s="2">
        <f t="shared" ca="1" si="2"/>
        <v>11.500000000000004</v>
      </c>
      <c r="L12" s="2">
        <f t="shared" ca="1" si="2"/>
        <v>8.1000000000000014</v>
      </c>
      <c r="M12" s="2">
        <f t="shared" ca="1" si="2"/>
        <v>4.7000000000000028</v>
      </c>
      <c r="N12" s="2">
        <f t="shared" ca="1" si="2"/>
        <v>1.3000000000000043</v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188</v>
      </c>
      <c r="B15" s="2">
        <v>7</v>
      </c>
      <c r="C15" s="103" t="s">
        <v>203</v>
      </c>
      <c r="D15" t="s">
        <v>76</v>
      </c>
      <c r="E15" s="2">
        <v>3</v>
      </c>
      <c r="F15" s="2">
        <f t="shared" ref="F15" si="4">IF(OR(F$14="",$E15=""),"",E15)</f>
        <v>3</v>
      </c>
      <c r="G15" s="2">
        <v>3</v>
      </c>
      <c r="H15" s="2">
        <v>3</v>
      </c>
      <c r="I15" s="2">
        <v>3</v>
      </c>
      <c r="J15" s="2">
        <v>3</v>
      </c>
      <c r="K15" s="2">
        <v>2</v>
      </c>
      <c r="L15" s="2">
        <v>1</v>
      </c>
      <c r="M15" s="2">
        <v>1</v>
      </c>
      <c r="AC15" s="2" t="str">
        <f t="shared" ref="AC15:AD15" si="5">IF(OR(AC$14="",$E15=""),"",AB15)</f>
        <v/>
      </c>
      <c r="AD15" s="2" t="str">
        <f t="shared" si="5"/>
        <v/>
      </c>
    </row>
    <row r="16" spans="1:30" ht="25.5">
      <c r="A16" s="109" t="s">
        <v>177</v>
      </c>
      <c r="B16" s="2">
        <v>5</v>
      </c>
      <c r="C16" s="103" t="s">
        <v>180</v>
      </c>
      <c r="D16" t="s">
        <v>75</v>
      </c>
      <c r="E16" s="2">
        <v>0.1</v>
      </c>
      <c r="F16" s="2">
        <v>0.1</v>
      </c>
      <c r="G16" s="2">
        <v>0.1</v>
      </c>
      <c r="H16" s="2">
        <v>0</v>
      </c>
      <c r="I16" s="104" t="s">
        <v>74</v>
      </c>
      <c r="J16" s="104" t="s">
        <v>74</v>
      </c>
      <c r="K16" s="104" t="s">
        <v>74</v>
      </c>
      <c r="L16" s="104" t="s">
        <v>74</v>
      </c>
      <c r="M16" s="104" t="s">
        <v>74</v>
      </c>
      <c r="AC16" s="2" t="s">
        <v>182</v>
      </c>
      <c r="AD16" s="2" t="s">
        <v>182</v>
      </c>
    </row>
    <row r="17" spans="1:30">
      <c r="A17" s="109" t="s">
        <v>183</v>
      </c>
      <c r="B17" s="2">
        <v>5</v>
      </c>
      <c r="C17" s="103" t="s">
        <v>98</v>
      </c>
      <c r="D17" t="s">
        <v>76</v>
      </c>
      <c r="E17" s="2">
        <v>0.1</v>
      </c>
      <c r="F17" s="2">
        <v>0.1</v>
      </c>
      <c r="G17" s="2">
        <v>0.1</v>
      </c>
      <c r="H17" s="2">
        <v>0.1</v>
      </c>
      <c r="I17" s="2">
        <v>0.1</v>
      </c>
      <c r="J17" s="2">
        <v>0.1</v>
      </c>
      <c r="K17" s="2">
        <v>0.1</v>
      </c>
      <c r="L17" s="2">
        <v>0.1</v>
      </c>
      <c r="M17" s="2">
        <v>0.1</v>
      </c>
      <c r="AC17" s="2" t="s">
        <v>182</v>
      </c>
      <c r="AD17" s="2" t="s">
        <v>182</v>
      </c>
    </row>
    <row r="18" spans="1:30">
      <c r="A18" s="103" t="s">
        <v>190</v>
      </c>
      <c r="B18" s="2">
        <v>5</v>
      </c>
      <c r="C18" s="103" t="s">
        <v>98</v>
      </c>
      <c r="D18" t="str">
        <f t="shared" ref="D18" si="6">IF(A18&lt;&gt;"","Planned","")</f>
        <v>Planned</v>
      </c>
      <c r="E18" s="2">
        <v>1</v>
      </c>
      <c r="F18" s="2">
        <f t="shared" ref="F18:F20" si="7">IF(OR(F$14="",$E18=""),"",E18)</f>
        <v>1</v>
      </c>
      <c r="G18" s="2">
        <v>1</v>
      </c>
      <c r="H18" s="2">
        <v>1</v>
      </c>
      <c r="I18" s="2">
        <v>1</v>
      </c>
      <c r="J18" s="2">
        <v>1</v>
      </c>
      <c r="K18" s="2">
        <v>1</v>
      </c>
      <c r="L18" s="2">
        <v>1</v>
      </c>
      <c r="M18" s="2">
        <v>1</v>
      </c>
      <c r="AC18" s="2" t="str">
        <f t="shared" ref="AC18:AD20" si="8">IF(OR(AC$14="",$E18=""),"",AB18)</f>
        <v/>
      </c>
      <c r="AD18" s="2" t="str">
        <f t="shared" si="8"/>
        <v/>
      </c>
    </row>
    <row r="19" spans="1:30">
      <c r="A19" s="103" t="s">
        <v>192</v>
      </c>
      <c r="B19" s="2">
        <v>7</v>
      </c>
      <c r="C19" s="103" t="s">
        <v>193</v>
      </c>
      <c r="D19" t="s">
        <v>76</v>
      </c>
      <c r="E19" s="2">
        <v>3</v>
      </c>
      <c r="F19" s="2">
        <f t="shared" si="7"/>
        <v>3</v>
      </c>
      <c r="G19" s="2">
        <v>3</v>
      </c>
      <c r="H19" s="2">
        <v>3</v>
      </c>
      <c r="I19" s="2">
        <v>3</v>
      </c>
      <c r="J19" s="2">
        <v>3</v>
      </c>
      <c r="K19" s="2">
        <v>2</v>
      </c>
      <c r="L19" s="2">
        <v>2</v>
      </c>
      <c r="M19" s="2">
        <v>1</v>
      </c>
      <c r="AC19" s="2" t="str">
        <f t="shared" si="8"/>
        <v/>
      </c>
      <c r="AD19" s="2" t="str">
        <f t="shared" si="8"/>
        <v/>
      </c>
    </row>
    <row r="20" spans="1:30">
      <c r="A20" s="103" t="s">
        <v>195</v>
      </c>
      <c r="B20" s="2">
        <v>7</v>
      </c>
      <c r="C20" s="103" t="s">
        <v>98</v>
      </c>
      <c r="D20" t="s">
        <v>76</v>
      </c>
      <c r="E20" s="2">
        <v>4</v>
      </c>
      <c r="F20" s="2">
        <f t="shared" si="7"/>
        <v>4</v>
      </c>
      <c r="G20" s="2">
        <v>4</v>
      </c>
      <c r="H20" s="2">
        <v>4</v>
      </c>
      <c r="I20" s="2">
        <v>4</v>
      </c>
      <c r="J20" s="2">
        <v>3.5</v>
      </c>
      <c r="K20" s="2">
        <v>3.5</v>
      </c>
      <c r="L20" s="2">
        <v>2</v>
      </c>
      <c r="M20" s="2">
        <v>2</v>
      </c>
      <c r="AC20" s="2" t="str">
        <f t="shared" si="8"/>
        <v/>
      </c>
      <c r="AD20" s="2" t="str">
        <f t="shared" si="8"/>
        <v/>
      </c>
    </row>
    <row r="21" spans="1:30">
      <c r="A21" s="103" t="s">
        <v>197</v>
      </c>
      <c r="B21" s="2">
        <v>8</v>
      </c>
      <c r="C21" s="103" t="s">
        <v>198</v>
      </c>
      <c r="D21" t="s">
        <v>75</v>
      </c>
      <c r="E21" s="2">
        <v>0.3</v>
      </c>
      <c r="F21" s="2">
        <v>0.3</v>
      </c>
      <c r="G21" s="2">
        <v>0</v>
      </c>
      <c r="AC21" s="2" t="str">
        <f t="shared" ref="AC21:AD33" si="9">IF(OR(AC$14="",$E21=""),"",AB21)</f>
        <v/>
      </c>
      <c r="AD21" s="2" t="str">
        <f t="shared" si="9"/>
        <v/>
      </c>
    </row>
    <row r="22" spans="1:30">
      <c r="A22" s="103" t="s">
        <v>199</v>
      </c>
      <c r="B22" s="2">
        <v>8</v>
      </c>
      <c r="C22" s="103" t="s">
        <v>98</v>
      </c>
      <c r="D22" t="s">
        <v>75</v>
      </c>
      <c r="E22" s="2">
        <v>4</v>
      </c>
      <c r="F22" s="2">
        <v>3</v>
      </c>
      <c r="G22" s="2">
        <v>2</v>
      </c>
      <c r="H22" s="2">
        <v>1</v>
      </c>
      <c r="I22" s="2">
        <v>0</v>
      </c>
      <c r="AC22" s="2" t="str">
        <f t="shared" si="9"/>
        <v/>
      </c>
      <c r="AD22" s="2" t="str">
        <f t="shared" si="9"/>
        <v/>
      </c>
    </row>
    <row r="23" spans="1:30">
      <c r="A23" s="103" t="s">
        <v>200</v>
      </c>
      <c r="B23" s="2">
        <v>9</v>
      </c>
      <c r="C23" s="103" t="s">
        <v>98</v>
      </c>
      <c r="D23" t="s">
        <v>75</v>
      </c>
      <c r="E23" s="2">
        <v>2</v>
      </c>
      <c r="F23" s="2">
        <f t="shared" ref="F23:U57" si="10">IF(OR(F$14="",$E23=""),"",E23)</f>
        <v>2</v>
      </c>
      <c r="G23" s="2">
        <v>2</v>
      </c>
      <c r="H23" s="2">
        <v>2</v>
      </c>
      <c r="I23" s="2">
        <v>2</v>
      </c>
      <c r="J23" s="2">
        <v>1</v>
      </c>
      <c r="K23" s="2">
        <v>0</v>
      </c>
      <c r="AC23" s="2" t="str">
        <f t="shared" si="9"/>
        <v/>
      </c>
      <c r="AD23" s="2" t="str">
        <f t="shared" si="9"/>
        <v/>
      </c>
    </row>
    <row r="24" spans="1:30">
      <c r="A24" s="103" t="s">
        <v>201</v>
      </c>
      <c r="B24" s="2">
        <v>8</v>
      </c>
      <c r="C24" s="103" t="s">
        <v>202</v>
      </c>
      <c r="D24" t="s">
        <v>75</v>
      </c>
      <c r="E24" s="2">
        <v>5</v>
      </c>
      <c r="F24" s="2">
        <f t="shared" si="10"/>
        <v>5</v>
      </c>
      <c r="G24" s="2">
        <v>5</v>
      </c>
      <c r="H24" s="2">
        <v>5</v>
      </c>
      <c r="I24" s="2">
        <v>4.5</v>
      </c>
      <c r="J24" s="2">
        <v>4.5</v>
      </c>
      <c r="K24" s="2">
        <v>3</v>
      </c>
      <c r="L24" s="2">
        <v>1</v>
      </c>
      <c r="M24" s="2">
        <v>0</v>
      </c>
      <c r="AC24" s="2" t="str">
        <f t="shared" si="9"/>
        <v/>
      </c>
      <c r="AD24" s="2" t="str">
        <f t="shared" si="9"/>
        <v/>
      </c>
    </row>
    <row r="25" spans="1:30">
      <c r="D25" t="str">
        <f t="shared" ref="D25:D57" si="11">IF(A25&lt;&gt;"","Planned","")</f>
        <v/>
      </c>
      <c r="F25" s="2" t="str">
        <f t="shared" si="10"/>
        <v/>
      </c>
      <c r="AC25" s="2" t="str">
        <f t="shared" si="9"/>
        <v/>
      </c>
      <c r="AD25" s="2" t="str">
        <f t="shared" si="9"/>
        <v/>
      </c>
    </row>
    <row r="26" spans="1:30">
      <c r="D26" t="str">
        <f t="shared" si="11"/>
        <v/>
      </c>
      <c r="F26" s="2" t="str">
        <f t="shared" si="10"/>
        <v/>
      </c>
      <c r="AC26" s="2" t="str">
        <f t="shared" si="9"/>
        <v/>
      </c>
      <c r="AD26" s="2" t="str">
        <f t="shared" si="9"/>
        <v/>
      </c>
    </row>
    <row r="27" spans="1:30">
      <c r="D27" t="str">
        <f t="shared" si="11"/>
        <v/>
      </c>
      <c r="F27" s="2" t="str">
        <f t="shared" si="10"/>
        <v/>
      </c>
      <c r="AC27" s="2" t="str">
        <f t="shared" si="9"/>
        <v/>
      </c>
      <c r="AD27" s="2" t="str">
        <f t="shared" si="9"/>
        <v/>
      </c>
    </row>
    <row r="28" spans="1:30">
      <c r="D28" t="str">
        <f t="shared" si="11"/>
        <v/>
      </c>
      <c r="F28" s="2" t="str">
        <f t="shared" si="10"/>
        <v/>
      </c>
      <c r="AC28" s="2" t="str">
        <f t="shared" si="9"/>
        <v/>
      </c>
      <c r="AD28" s="2" t="str">
        <f t="shared" si="9"/>
        <v/>
      </c>
    </row>
    <row r="29" spans="1:30">
      <c r="D29" t="str">
        <f t="shared" si="11"/>
        <v/>
      </c>
      <c r="F29" s="2" t="str">
        <f t="shared" si="10"/>
        <v/>
      </c>
      <c r="AC29" s="2" t="str">
        <f t="shared" si="9"/>
        <v/>
      </c>
      <c r="AD29" s="2" t="str">
        <f t="shared" si="9"/>
        <v/>
      </c>
    </row>
    <row r="30" spans="1:30">
      <c r="D30" t="str">
        <f t="shared" si="11"/>
        <v/>
      </c>
      <c r="F30" s="2" t="str">
        <f t="shared" si="10"/>
        <v/>
      </c>
      <c r="AC30" s="2" t="str">
        <f t="shared" si="9"/>
        <v/>
      </c>
      <c r="AD30" s="2" t="str">
        <f t="shared" si="9"/>
        <v/>
      </c>
    </row>
    <row r="31" spans="1:30">
      <c r="D31" t="str">
        <f t="shared" si="11"/>
        <v/>
      </c>
      <c r="F31" s="2" t="str">
        <f t="shared" si="10"/>
        <v/>
      </c>
      <c r="AC31" s="2" t="str">
        <f t="shared" si="9"/>
        <v/>
      </c>
      <c r="AD31" s="2" t="str">
        <f t="shared" si="9"/>
        <v/>
      </c>
    </row>
    <row r="32" spans="1:30">
      <c r="D32" t="str">
        <f t="shared" si="11"/>
        <v/>
      </c>
      <c r="F32" s="2" t="str">
        <f t="shared" si="10"/>
        <v/>
      </c>
      <c r="AC32" s="2" t="str">
        <f t="shared" si="9"/>
        <v/>
      </c>
      <c r="AD32" s="2" t="str">
        <f t="shared" si="9"/>
        <v/>
      </c>
    </row>
    <row r="33" spans="4:30">
      <c r="D33" t="str">
        <f t="shared" si="11"/>
        <v/>
      </c>
      <c r="F33" s="2" t="str">
        <f t="shared" si="10"/>
        <v/>
      </c>
      <c r="AC33" s="2" t="str">
        <f t="shared" si="9"/>
        <v/>
      </c>
      <c r="AD33" s="2" t="str">
        <f t="shared" si="9"/>
        <v/>
      </c>
    </row>
    <row r="34" spans="4:30">
      <c r="D34" t="str">
        <f t="shared" si="11"/>
        <v/>
      </c>
      <c r="F34" s="2" t="str">
        <f t="shared" si="10"/>
        <v/>
      </c>
      <c r="AC34" s="2" t="str">
        <f t="shared" ref="AC34:AD53" si="12">IF(OR(AC$14="",$E34=""),"",AB34)</f>
        <v/>
      </c>
      <c r="AD34" s="2" t="str">
        <f t="shared" si="12"/>
        <v/>
      </c>
    </row>
    <row r="35" spans="4:30">
      <c r="D35" t="str">
        <f t="shared" si="11"/>
        <v/>
      </c>
      <c r="F35" s="2" t="str">
        <f t="shared" si="10"/>
        <v/>
      </c>
      <c r="AC35" s="2" t="str">
        <f t="shared" si="12"/>
        <v/>
      </c>
      <c r="AD35" s="2" t="str">
        <f t="shared" si="12"/>
        <v/>
      </c>
    </row>
    <row r="36" spans="4:30">
      <c r="D36" t="str">
        <f t="shared" si="11"/>
        <v/>
      </c>
      <c r="F36" s="2" t="str">
        <f t="shared" si="10"/>
        <v/>
      </c>
      <c r="AC36" s="2" t="str">
        <f t="shared" si="12"/>
        <v/>
      </c>
      <c r="AD36" s="2" t="str">
        <f t="shared" si="12"/>
        <v/>
      </c>
    </row>
    <row r="37" spans="4:30">
      <c r="D37" t="str">
        <f t="shared" si="11"/>
        <v/>
      </c>
      <c r="F37" s="2" t="str">
        <f t="shared" si="10"/>
        <v/>
      </c>
      <c r="AC37" s="2" t="str">
        <f t="shared" si="12"/>
        <v/>
      </c>
      <c r="AD37" s="2" t="str">
        <f t="shared" si="12"/>
        <v/>
      </c>
    </row>
    <row r="38" spans="4:30">
      <c r="D38" t="str">
        <f t="shared" si="11"/>
        <v/>
      </c>
      <c r="F38" s="2" t="str">
        <f t="shared" si="10"/>
        <v/>
      </c>
      <c r="AC38" s="2" t="str">
        <f t="shared" si="12"/>
        <v/>
      </c>
      <c r="AD38" s="2" t="str">
        <f t="shared" si="12"/>
        <v/>
      </c>
    </row>
    <row r="39" spans="4:30">
      <c r="D39" t="str">
        <f t="shared" si="11"/>
        <v/>
      </c>
      <c r="F39" s="2" t="str">
        <f t="shared" si="10"/>
        <v/>
      </c>
      <c r="AC39" s="2" t="str">
        <f t="shared" si="12"/>
        <v/>
      </c>
      <c r="AD39" s="2" t="str">
        <f t="shared" si="12"/>
        <v/>
      </c>
    </row>
    <row r="40" spans="4:30">
      <c r="D40" t="str">
        <f t="shared" si="11"/>
        <v/>
      </c>
      <c r="F40" s="2" t="str">
        <f t="shared" si="10"/>
        <v/>
      </c>
      <c r="AC40" s="2" t="str">
        <f t="shared" si="12"/>
        <v/>
      </c>
      <c r="AD40" s="2" t="str">
        <f t="shared" si="12"/>
        <v/>
      </c>
    </row>
    <row r="41" spans="4:30">
      <c r="D41" t="str">
        <f t="shared" si="11"/>
        <v/>
      </c>
      <c r="F41" s="2" t="str">
        <f t="shared" si="10"/>
        <v/>
      </c>
      <c r="AC41" s="2" t="str">
        <f t="shared" si="12"/>
        <v/>
      </c>
      <c r="AD41" s="2" t="str">
        <f t="shared" si="12"/>
        <v/>
      </c>
    </row>
    <row r="42" spans="4:30">
      <c r="D42" t="str">
        <f t="shared" si="11"/>
        <v/>
      </c>
      <c r="F42" s="2" t="str">
        <f t="shared" si="10"/>
        <v/>
      </c>
      <c r="AC42" s="2" t="str">
        <f t="shared" si="12"/>
        <v/>
      </c>
      <c r="AD42" s="2" t="str">
        <f t="shared" si="12"/>
        <v/>
      </c>
    </row>
    <row r="43" spans="4:30">
      <c r="D43" t="str">
        <f t="shared" si="11"/>
        <v/>
      </c>
      <c r="F43" s="2" t="str">
        <f t="shared" si="10"/>
        <v/>
      </c>
      <c r="AC43" s="2" t="str">
        <f t="shared" si="12"/>
        <v/>
      </c>
      <c r="AD43" s="2" t="str">
        <f t="shared" si="12"/>
        <v/>
      </c>
    </row>
    <row r="44" spans="4:30">
      <c r="D44" t="str">
        <f t="shared" si="11"/>
        <v/>
      </c>
      <c r="F44" s="2" t="str">
        <f t="shared" si="10"/>
        <v/>
      </c>
      <c r="AC44" s="2" t="str">
        <f t="shared" si="12"/>
        <v/>
      </c>
      <c r="AD44" s="2" t="str">
        <f t="shared" si="12"/>
        <v/>
      </c>
    </row>
    <row r="45" spans="4:30">
      <c r="D45" t="str">
        <f t="shared" si="11"/>
        <v/>
      </c>
      <c r="F45" s="2" t="str">
        <f t="shared" si="10"/>
        <v/>
      </c>
      <c r="AC45" s="2" t="str">
        <f t="shared" si="12"/>
        <v/>
      </c>
      <c r="AD45" s="2" t="str">
        <f t="shared" si="12"/>
        <v/>
      </c>
    </row>
    <row r="46" spans="4:30">
      <c r="D46" t="str">
        <f t="shared" si="11"/>
        <v/>
      </c>
      <c r="F46" s="2" t="str">
        <f t="shared" si="10"/>
        <v/>
      </c>
      <c r="AC46" s="2" t="str">
        <f t="shared" si="12"/>
        <v/>
      </c>
      <c r="AD46" s="2" t="str">
        <f t="shared" si="12"/>
        <v/>
      </c>
    </row>
    <row r="47" spans="4:30">
      <c r="D47" t="str">
        <f t="shared" si="11"/>
        <v/>
      </c>
      <c r="F47" s="2" t="str">
        <f t="shared" si="10"/>
        <v/>
      </c>
      <c r="AC47" s="2" t="str">
        <f t="shared" si="12"/>
        <v/>
      </c>
      <c r="AD47" s="2" t="str">
        <f t="shared" si="12"/>
        <v/>
      </c>
    </row>
    <row r="48" spans="4:30">
      <c r="D48" t="str">
        <f t="shared" si="11"/>
        <v/>
      </c>
      <c r="F48" s="2" t="str">
        <f t="shared" si="10"/>
        <v/>
      </c>
      <c r="AC48" s="2" t="str">
        <f t="shared" si="12"/>
        <v/>
      </c>
      <c r="AD48" s="2" t="str">
        <f t="shared" si="12"/>
        <v/>
      </c>
    </row>
    <row r="49" spans="4:30">
      <c r="D49" t="str">
        <f t="shared" si="11"/>
        <v/>
      </c>
      <c r="F49" s="2" t="str">
        <f t="shared" si="10"/>
        <v/>
      </c>
      <c r="AC49" s="2" t="str">
        <f t="shared" si="12"/>
        <v/>
      </c>
      <c r="AD49" s="2" t="str">
        <f t="shared" si="12"/>
        <v/>
      </c>
    </row>
    <row r="50" spans="4:30">
      <c r="D50" t="str">
        <f t="shared" si="11"/>
        <v/>
      </c>
      <c r="F50" s="2" t="str">
        <f t="shared" si="10"/>
        <v/>
      </c>
      <c r="AC50" s="2" t="str">
        <f t="shared" si="12"/>
        <v/>
      </c>
      <c r="AD50" s="2" t="str">
        <f t="shared" si="12"/>
        <v/>
      </c>
    </row>
    <row r="51" spans="4:30">
      <c r="D51" t="str">
        <f t="shared" si="11"/>
        <v/>
      </c>
      <c r="F51" s="2" t="str">
        <f t="shared" si="10"/>
        <v/>
      </c>
      <c r="AC51" s="2" t="str">
        <f t="shared" si="12"/>
        <v/>
      </c>
      <c r="AD51" s="2" t="str">
        <f t="shared" si="12"/>
        <v/>
      </c>
    </row>
    <row r="52" spans="4:30">
      <c r="D52" t="str">
        <f t="shared" si="11"/>
        <v/>
      </c>
      <c r="F52" s="2" t="str">
        <f t="shared" si="10"/>
        <v/>
      </c>
      <c r="AC52" s="2" t="str">
        <f t="shared" si="12"/>
        <v/>
      </c>
      <c r="AD52" s="2" t="str">
        <f t="shared" si="12"/>
        <v/>
      </c>
    </row>
    <row r="53" spans="4:30">
      <c r="D53" t="str">
        <f t="shared" si="11"/>
        <v/>
      </c>
      <c r="F53" s="2" t="str">
        <f t="shared" si="10"/>
        <v/>
      </c>
      <c r="AC53" s="2" t="str">
        <f t="shared" si="12"/>
        <v/>
      </c>
      <c r="AD53" s="2" t="str">
        <f t="shared" si="12"/>
        <v/>
      </c>
    </row>
    <row r="54" spans="4:30">
      <c r="D54" t="str">
        <f t="shared" si="11"/>
        <v/>
      </c>
      <c r="F54" s="2" t="str">
        <f t="shared" si="10"/>
        <v/>
      </c>
      <c r="AC54" s="2" t="str">
        <f t="shared" ref="AC54:AD57" si="13">IF(OR(AC$14="",$E54=""),"",AB54)</f>
        <v/>
      </c>
      <c r="AD54" s="2" t="str">
        <f t="shared" si="13"/>
        <v/>
      </c>
    </row>
    <row r="55" spans="4:30">
      <c r="D55" t="str">
        <f t="shared" si="11"/>
        <v/>
      </c>
      <c r="F55" s="2" t="str">
        <f t="shared" si="10"/>
        <v/>
      </c>
      <c r="AC55" s="2" t="str">
        <f t="shared" si="13"/>
        <v/>
      </c>
      <c r="AD55" s="2" t="str">
        <f t="shared" si="13"/>
        <v/>
      </c>
    </row>
    <row r="56" spans="4:30">
      <c r="D56" t="str">
        <f t="shared" si="11"/>
        <v/>
      </c>
      <c r="F56" s="2" t="str">
        <f t="shared" si="10"/>
        <v/>
      </c>
      <c r="G56" s="2" t="str">
        <f t="shared" si="10"/>
        <v/>
      </c>
      <c r="H56" s="2" t="str">
        <f t="shared" si="10"/>
        <v/>
      </c>
      <c r="I56" s="2" t="str">
        <f t="shared" si="10"/>
        <v/>
      </c>
      <c r="J56" s="2" t="str">
        <f t="shared" si="10"/>
        <v/>
      </c>
      <c r="K56" s="2" t="str">
        <f t="shared" si="10"/>
        <v/>
      </c>
      <c r="L56" s="2" t="str">
        <f t="shared" si="10"/>
        <v/>
      </c>
      <c r="M56" s="2" t="str">
        <f t="shared" si="10"/>
        <v/>
      </c>
      <c r="N56" s="2" t="str">
        <f t="shared" si="10"/>
        <v/>
      </c>
      <c r="O56" s="2" t="str">
        <f t="shared" si="10"/>
        <v/>
      </c>
      <c r="P56" s="2" t="str">
        <f t="shared" si="10"/>
        <v/>
      </c>
      <c r="Q56" s="2" t="str">
        <f t="shared" si="10"/>
        <v/>
      </c>
      <c r="R56" s="2" t="str">
        <f t="shared" si="10"/>
        <v/>
      </c>
      <c r="S56" s="2" t="str">
        <f t="shared" si="10"/>
        <v/>
      </c>
      <c r="T56" s="2" t="str">
        <f t="shared" si="10"/>
        <v/>
      </c>
      <c r="U56" s="2" t="str">
        <f t="shared" si="10"/>
        <v/>
      </c>
      <c r="V56" s="2" t="str">
        <f t="shared" ref="V56:AB57" si="14">IF(OR(V$14="",$E56=""),"",U56)</f>
        <v/>
      </c>
      <c r="W56" s="2" t="str">
        <f t="shared" si="14"/>
        <v/>
      </c>
      <c r="X56" s="2" t="str">
        <f t="shared" si="14"/>
        <v/>
      </c>
      <c r="Y56" s="2" t="str">
        <f t="shared" si="14"/>
        <v/>
      </c>
      <c r="Z56" s="2" t="str">
        <f t="shared" si="14"/>
        <v/>
      </c>
      <c r="AA56" s="2" t="str">
        <f t="shared" si="14"/>
        <v/>
      </c>
      <c r="AB56" s="2" t="str">
        <f t="shared" si="14"/>
        <v/>
      </c>
      <c r="AC56" s="2" t="str">
        <f t="shared" si="13"/>
        <v/>
      </c>
      <c r="AD56" s="2" t="str">
        <f t="shared" si="13"/>
        <v/>
      </c>
    </row>
    <row r="57" spans="4:30">
      <c r="D57" t="str">
        <f t="shared" si="11"/>
        <v/>
      </c>
      <c r="F57" s="2" t="str">
        <f t="shared" si="10"/>
        <v/>
      </c>
      <c r="G57" s="2" t="str">
        <f t="shared" si="10"/>
        <v/>
      </c>
      <c r="H57" s="2" t="str">
        <f t="shared" si="10"/>
        <v/>
      </c>
      <c r="I57" s="2" t="str">
        <f t="shared" si="10"/>
        <v/>
      </c>
      <c r="J57" s="2" t="str">
        <f t="shared" si="10"/>
        <v/>
      </c>
      <c r="K57" s="2" t="str">
        <f t="shared" si="10"/>
        <v/>
      </c>
      <c r="L57" s="2" t="str">
        <f t="shared" si="10"/>
        <v/>
      </c>
      <c r="M57" s="2" t="str">
        <f t="shared" si="10"/>
        <v/>
      </c>
      <c r="N57" s="2" t="str">
        <f t="shared" si="10"/>
        <v/>
      </c>
      <c r="O57" s="2" t="str">
        <f t="shared" si="10"/>
        <v/>
      </c>
      <c r="P57" s="2" t="str">
        <f t="shared" si="10"/>
        <v/>
      </c>
      <c r="Q57" s="2" t="str">
        <f t="shared" si="10"/>
        <v/>
      </c>
      <c r="R57" s="2" t="str">
        <f t="shared" si="10"/>
        <v/>
      </c>
      <c r="S57" s="2" t="str">
        <f t="shared" si="10"/>
        <v/>
      </c>
      <c r="T57" s="2" t="str">
        <f t="shared" si="10"/>
        <v/>
      </c>
      <c r="U57" s="2" t="str">
        <f t="shared" si="10"/>
        <v/>
      </c>
      <c r="V57" s="2" t="str">
        <f t="shared" si="14"/>
        <v/>
      </c>
      <c r="W57" s="2" t="str">
        <f t="shared" si="14"/>
        <v/>
      </c>
      <c r="X57" s="2" t="str">
        <f t="shared" si="14"/>
        <v/>
      </c>
      <c r="Y57" s="2" t="str">
        <f t="shared" si="14"/>
        <v/>
      </c>
      <c r="Z57" s="2" t="str">
        <f t="shared" si="14"/>
        <v/>
      </c>
      <c r="AA57" s="2" t="str">
        <f t="shared" si="14"/>
        <v/>
      </c>
      <c r="AB57" s="2" t="str">
        <f t="shared" si="14"/>
        <v/>
      </c>
      <c r="AC57" s="2" t="str">
        <f t="shared" si="13"/>
        <v/>
      </c>
      <c r="AD57" s="2" t="str">
        <f t="shared" si="13"/>
        <v/>
      </c>
    </row>
    <row r="62" spans="4:30">
      <c r="D62" t="str">
        <f>IF(A62&lt;&gt;"","Planned","")</f>
        <v/>
      </c>
    </row>
  </sheetData>
  <conditionalFormatting sqref="J15:AD18 A18:AD56">
    <cfRule type="expression" dxfId="195" priority="19" stopIfTrue="1">
      <formula>$D15="Done"</formula>
    </cfRule>
    <cfRule type="expression" dxfId="194" priority="20" stopIfTrue="1">
      <formula>$D15="Ongoing"</formula>
    </cfRule>
  </conditionalFormatting>
  <conditionalFormatting sqref="A15:I18">
    <cfRule type="expression" dxfId="193" priority="17" stopIfTrue="1">
      <formula>$D15="Done"</formula>
    </cfRule>
    <cfRule type="expression" dxfId="192" priority="18" stopIfTrue="1">
      <formula>$D15="Ongoing"</formula>
    </cfRule>
  </conditionalFormatting>
  <conditionalFormatting sqref="J15:AD15">
    <cfRule type="expression" dxfId="191" priority="15" stopIfTrue="1">
      <formula>$D15="Done"</formula>
    </cfRule>
    <cfRule type="expression" dxfId="190" priority="16" stopIfTrue="1">
      <formula>$D15="Ongoing"</formula>
    </cfRule>
  </conditionalFormatting>
  <conditionalFormatting sqref="A15:I15">
    <cfRule type="expression" dxfId="189" priority="13" stopIfTrue="1">
      <formula>$D15="Done"</formula>
    </cfRule>
    <cfRule type="expression" dxfId="188" priority="14" stopIfTrue="1">
      <formula>$D15="Ongoing"</formula>
    </cfRule>
  </conditionalFormatting>
  <conditionalFormatting sqref="J16:AD17">
    <cfRule type="expression" dxfId="187" priority="11" stopIfTrue="1">
      <formula>$D16="Done"</formula>
    </cfRule>
    <cfRule type="expression" dxfId="186" priority="12" stopIfTrue="1">
      <formula>$D16="Ongoing"</formula>
    </cfRule>
  </conditionalFormatting>
  <conditionalFormatting sqref="A16:I17">
    <cfRule type="expression" dxfId="185" priority="9" stopIfTrue="1">
      <formula>$D16="Done"</formula>
    </cfRule>
    <cfRule type="expression" dxfId="184" priority="10" stopIfTrue="1">
      <formula>$D16="Ongoing"</formula>
    </cfRule>
  </conditionalFormatting>
  <conditionalFormatting sqref="A16">
    <cfRule type="expression" dxfId="183" priority="7" stopIfTrue="1">
      <formula>$D16="Done"</formula>
    </cfRule>
    <cfRule type="expression" dxfId="182" priority="8" stopIfTrue="1">
      <formula>$D16="Ongoing"</formula>
    </cfRule>
  </conditionalFormatting>
  <conditionalFormatting sqref="A16">
    <cfRule type="expression" dxfId="181" priority="5" stopIfTrue="1">
      <formula>$D16="Done"</formula>
    </cfRule>
    <cfRule type="expression" dxfId="180" priority="6" stopIfTrue="1">
      <formula>$D16="Ongoing"</formula>
    </cfRule>
  </conditionalFormatting>
  <conditionalFormatting sqref="A17">
    <cfRule type="expression" dxfId="179" priority="3" stopIfTrue="1">
      <formula>$D17="Done"</formula>
    </cfRule>
    <cfRule type="expression" dxfId="178" priority="4" stopIfTrue="1">
      <formula>$D17="Ongoing"</formula>
    </cfRule>
  </conditionalFormatting>
  <dataValidations count="1">
    <dataValidation type="list" allowBlank="1" showInputMessage="1" sqref="D3:D8 D15:D62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1:AD63"/>
  <sheetViews>
    <sheetView workbookViewId="0">
      <pane ySplit="14" topLeftCell="A15" activePane="bottomLeft" state="frozen"/>
      <selection pane="bottomLeft" activeCell="A18" sqref="A18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8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26.1</v>
      </c>
      <c r="F10" s="17">
        <f ca="1">IF(AND(SUM(OFFSET(F14,1,0,TaskRows,1))=0),0,SUM(OFFSET(F14,1,0,TaskRows,1)))</f>
        <v>24.4</v>
      </c>
      <c r="G10" s="17">
        <f t="shared" ref="G10:AD10" ca="1" si="0">IF(AND(SUM(OFFSET(G14,1,0,TaskRows,1))=0),"",SUM(OFFSET(G14,1,0,TaskRows,1)))</f>
        <v>20.5</v>
      </c>
      <c r="H10" s="17">
        <f t="shared" ca="1" si="0"/>
        <v>17.3</v>
      </c>
      <c r="I10" s="17">
        <f t="shared" ca="1" si="0"/>
        <v>13.2</v>
      </c>
      <c r="J10" s="17">
        <f t="shared" ca="1" si="0"/>
        <v>11</v>
      </c>
      <c r="K10" s="17">
        <f t="shared" ca="1" si="0"/>
        <v>10</v>
      </c>
      <c r="L10" s="17">
        <f t="shared" ca="1" si="0"/>
        <v>9</v>
      </c>
      <c r="M10" s="17">
        <f t="shared" ca="1" si="0"/>
        <v>8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IF(COUNTA(A15:A241)=0,1,COUNTA(A15:A241))</f>
        <v>10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26.1</v>
      </c>
      <c r="G11" s="2">
        <f t="shared" ref="G11:AD11" ca="1" si="1">IF(G14="","",TotalEffort-TotalEffort/(ImplementationDays)*(G14-1))</f>
        <v>22.837500000000002</v>
      </c>
      <c r="H11" s="2">
        <f t="shared" ca="1" si="1"/>
        <v>19.575000000000003</v>
      </c>
      <c r="I11" s="2">
        <f t="shared" ca="1" si="1"/>
        <v>16.3125</v>
      </c>
      <c r="J11" s="2">
        <f t="shared" ca="1" si="1"/>
        <v>13.05</v>
      </c>
      <c r="K11" s="2">
        <f t="shared" ca="1" si="1"/>
        <v>9.7875000000000014</v>
      </c>
      <c r="L11" s="2">
        <f t="shared" ca="1" si="1"/>
        <v>6.5249999999999986</v>
      </c>
      <c r="M11" s="2">
        <f t="shared" ca="1" si="1"/>
        <v>3.2624999999999993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16.440000000000001</v>
      </c>
      <c r="G12" s="2">
        <f t="shared" ca="1" si="2"/>
        <v>15.2</v>
      </c>
      <c r="H12" s="2">
        <f t="shared" ca="1" si="2"/>
        <v>13.96</v>
      </c>
      <c r="I12" s="2">
        <f t="shared" ca="1" si="2"/>
        <v>12.719999999999999</v>
      </c>
      <c r="J12" s="2">
        <f t="shared" ca="1" si="2"/>
        <v>11.48</v>
      </c>
      <c r="K12" s="2">
        <f t="shared" ca="1" si="2"/>
        <v>10.24</v>
      </c>
      <c r="L12" s="2">
        <f t="shared" ca="1" si="2"/>
        <v>9</v>
      </c>
      <c r="M12" s="2">
        <f t="shared" ca="1" si="2"/>
        <v>7.76</v>
      </c>
      <c r="N12" s="2">
        <f t="shared" ca="1" si="2"/>
        <v>6.52</v>
      </c>
      <c r="O12" s="2">
        <f t="shared" ca="1" si="2"/>
        <v>5.2799999999999994</v>
      </c>
      <c r="P12" s="2">
        <f t="shared" ca="1" si="2"/>
        <v>4.0399999999999991</v>
      </c>
      <c r="Q12" s="2">
        <f t="shared" ca="1" si="2"/>
        <v>2.8000000000000007</v>
      </c>
      <c r="R12" s="2">
        <f t="shared" ca="1" si="2"/>
        <v>1.5599999999999987</v>
      </c>
      <c r="S12" s="2">
        <f t="shared" ca="1" si="2"/>
        <v>0.32000000000000028</v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3" t="s">
        <v>188</v>
      </c>
      <c r="B15" s="2">
        <v>7</v>
      </c>
      <c r="C15" s="103" t="s">
        <v>203</v>
      </c>
      <c r="D15" t="s">
        <v>75</v>
      </c>
      <c r="E15" s="2">
        <v>1</v>
      </c>
      <c r="F15" s="2">
        <v>1</v>
      </c>
      <c r="G15" s="104">
        <v>0.5</v>
      </c>
      <c r="H15" s="2">
        <v>0.2</v>
      </c>
      <c r="I15" s="2">
        <v>0</v>
      </c>
    </row>
    <row r="16" spans="1:30">
      <c r="A16" s="109" t="s">
        <v>183</v>
      </c>
      <c r="B16" s="2">
        <v>5</v>
      </c>
      <c r="C16" s="103" t="s">
        <v>98</v>
      </c>
      <c r="D16" t="s">
        <v>76</v>
      </c>
      <c r="E16" s="2">
        <v>0.1</v>
      </c>
      <c r="F16" s="2">
        <f t="shared" ref="F16:U58" si="4">IF(OR(F$14="",$E16=""),"",E16)</f>
        <v>0.1</v>
      </c>
      <c r="G16" s="2">
        <v>0.1</v>
      </c>
      <c r="H16" s="2">
        <v>0.1</v>
      </c>
      <c r="I16" s="2">
        <v>0.1</v>
      </c>
      <c r="AC16" s="2" t="str">
        <f t="shared" ref="AC16:AD34" si="5">IF(OR(AC$14="",$E16=""),"",AB16)</f>
        <v/>
      </c>
      <c r="AD16" s="2" t="str">
        <f t="shared" si="5"/>
        <v/>
      </c>
    </row>
    <row r="17" spans="1:30">
      <c r="A17" s="103" t="s">
        <v>192</v>
      </c>
      <c r="B17" s="2">
        <v>7</v>
      </c>
      <c r="C17" s="103" t="s">
        <v>193</v>
      </c>
      <c r="D17" t="s">
        <v>75</v>
      </c>
      <c r="E17" s="2">
        <v>1</v>
      </c>
      <c r="F17" s="2">
        <f t="shared" si="4"/>
        <v>1</v>
      </c>
      <c r="G17" s="2">
        <v>0.5</v>
      </c>
      <c r="H17" s="2">
        <v>0.3</v>
      </c>
      <c r="I17" s="2">
        <v>0</v>
      </c>
      <c r="AC17" s="2" t="str">
        <f t="shared" si="5"/>
        <v/>
      </c>
      <c r="AD17" s="2" t="str">
        <f t="shared" si="5"/>
        <v/>
      </c>
    </row>
    <row r="18" spans="1:30">
      <c r="A18" s="103" t="s">
        <v>205</v>
      </c>
      <c r="B18" s="2">
        <v>5</v>
      </c>
      <c r="C18" s="103" t="s">
        <v>98</v>
      </c>
      <c r="D18" t="str">
        <f t="shared" ref="D18:D58" si="6">IF(A18&lt;&gt;"","Planned","")</f>
        <v>Planned</v>
      </c>
      <c r="E18" s="2">
        <v>1</v>
      </c>
      <c r="F18" s="2">
        <f t="shared" si="4"/>
        <v>1</v>
      </c>
      <c r="G18" s="2">
        <v>1</v>
      </c>
      <c r="H18" s="2">
        <v>1</v>
      </c>
      <c r="I18" s="2">
        <v>1</v>
      </c>
      <c r="J18" s="2">
        <v>1</v>
      </c>
      <c r="K18" s="2">
        <v>1</v>
      </c>
      <c r="L18" s="2">
        <v>1</v>
      </c>
      <c r="M18" s="2">
        <v>1</v>
      </c>
      <c r="AC18" s="2" t="str">
        <f t="shared" si="5"/>
        <v/>
      </c>
      <c r="AD18" s="2" t="str">
        <f t="shared" si="5"/>
        <v/>
      </c>
    </row>
    <row r="19" spans="1:30">
      <c r="A19" s="103" t="s">
        <v>206</v>
      </c>
      <c r="B19" s="2">
        <v>8</v>
      </c>
      <c r="C19" s="103" t="s">
        <v>98</v>
      </c>
      <c r="D19" t="s">
        <v>75</v>
      </c>
      <c r="E19" s="2">
        <v>1</v>
      </c>
      <c r="F19" s="2">
        <v>0.7</v>
      </c>
      <c r="G19" s="2">
        <v>0.5</v>
      </c>
      <c r="H19" s="2">
        <v>0.2</v>
      </c>
      <c r="I19" s="2">
        <v>0.1</v>
      </c>
      <c r="J19" s="2">
        <v>0</v>
      </c>
      <c r="AC19" s="2" t="str">
        <f t="shared" si="5"/>
        <v/>
      </c>
      <c r="AD19" s="2" t="str">
        <f t="shared" si="5"/>
        <v/>
      </c>
    </row>
    <row r="20" spans="1:30">
      <c r="A20" s="103" t="s">
        <v>207</v>
      </c>
      <c r="B20" s="2">
        <v>12</v>
      </c>
      <c r="C20" s="103" t="s">
        <v>98</v>
      </c>
      <c r="D20" t="s">
        <v>75</v>
      </c>
      <c r="E20" s="2">
        <v>1</v>
      </c>
      <c r="F20" s="2">
        <v>0.6</v>
      </c>
      <c r="G20" s="2">
        <v>0.4</v>
      </c>
      <c r="H20" s="2">
        <v>0</v>
      </c>
      <c r="AC20" s="2" t="str">
        <f t="shared" si="5"/>
        <v/>
      </c>
      <c r="AD20" s="2" t="str">
        <f t="shared" si="5"/>
        <v/>
      </c>
    </row>
    <row r="21" spans="1:30">
      <c r="A21" s="103" t="s">
        <v>208</v>
      </c>
      <c r="B21" s="2">
        <v>5</v>
      </c>
      <c r="C21" s="103" t="s">
        <v>202</v>
      </c>
      <c r="D21" t="s">
        <v>75</v>
      </c>
      <c r="E21" s="2">
        <v>2</v>
      </c>
      <c r="F21" s="2">
        <f t="shared" si="4"/>
        <v>2</v>
      </c>
      <c r="G21" s="2">
        <v>0.5</v>
      </c>
      <c r="H21" s="2">
        <v>0.5</v>
      </c>
      <c r="I21" s="2">
        <v>0</v>
      </c>
      <c r="AC21" s="2" t="str">
        <f t="shared" si="5"/>
        <v/>
      </c>
      <c r="AD21" s="2" t="str">
        <f t="shared" si="5"/>
        <v/>
      </c>
    </row>
    <row r="22" spans="1:30">
      <c r="A22" s="103" t="s">
        <v>209</v>
      </c>
      <c r="B22" s="2">
        <v>8</v>
      </c>
      <c r="C22" s="103" t="s">
        <v>98</v>
      </c>
      <c r="D22" t="s">
        <v>75</v>
      </c>
      <c r="E22" s="2">
        <v>5</v>
      </c>
      <c r="F22" s="2">
        <v>4</v>
      </c>
      <c r="G22" s="2">
        <v>3</v>
      </c>
      <c r="H22" s="2">
        <v>2</v>
      </c>
      <c r="I22" s="2">
        <v>1</v>
      </c>
      <c r="J22" s="2">
        <v>0</v>
      </c>
      <c r="AC22" s="2" t="str">
        <f t="shared" si="5"/>
        <v/>
      </c>
      <c r="AD22" s="2" t="str">
        <f t="shared" si="5"/>
        <v/>
      </c>
    </row>
    <row r="23" spans="1:30">
      <c r="A23" s="103" t="s">
        <v>210</v>
      </c>
      <c r="B23" s="2">
        <v>12</v>
      </c>
      <c r="C23" s="103" t="s">
        <v>98</v>
      </c>
      <c r="D23" t="s">
        <v>76</v>
      </c>
      <c r="E23" s="2">
        <v>8</v>
      </c>
      <c r="F23" s="2">
        <f t="shared" si="4"/>
        <v>8</v>
      </c>
      <c r="G23" s="2">
        <v>8</v>
      </c>
      <c r="H23" s="2">
        <v>8</v>
      </c>
      <c r="I23" s="2">
        <v>7</v>
      </c>
      <c r="J23" s="2">
        <v>7</v>
      </c>
      <c r="K23" s="2">
        <v>7</v>
      </c>
      <c r="L23" s="2">
        <v>7</v>
      </c>
      <c r="M23" s="2">
        <v>7</v>
      </c>
      <c r="AC23" s="2" t="str">
        <f t="shared" si="5"/>
        <v/>
      </c>
      <c r="AD23" s="2" t="str">
        <f t="shared" si="5"/>
        <v/>
      </c>
    </row>
    <row r="24" spans="1:30">
      <c r="A24" s="103" t="s">
        <v>211</v>
      </c>
      <c r="B24" s="2">
        <v>8</v>
      </c>
      <c r="C24" s="103" t="s">
        <v>98</v>
      </c>
      <c r="D24" t="s">
        <v>75</v>
      </c>
      <c r="E24" s="2">
        <v>6</v>
      </c>
      <c r="F24" s="2">
        <f t="shared" si="4"/>
        <v>6</v>
      </c>
      <c r="G24" s="2">
        <v>6</v>
      </c>
      <c r="H24" s="2">
        <v>5</v>
      </c>
      <c r="I24" s="2">
        <v>4</v>
      </c>
      <c r="J24" s="2">
        <v>3</v>
      </c>
      <c r="K24" s="2">
        <v>2</v>
      </c>
      <c r="L24" s="2">
        <v>1</v>
      </c>
      <c r="M24" s="2">
        <v>0</v>
      </c>
      <c r="AC24" s="2" t="str">
        <f t="shared" si="5"/>
        <v/>
      </c>
      <c r="AD24" s="2" t="str">
        <f t="shared" si="5"/>
        <v/>
      </c>
    </row>
    <row r="25" spans="1:30">
      <c r="D25" t="str">
        <f t="shared" si="6"/>
        <v/>
      </c>
      <c r="F25" s="2" t="str">
        <f t="shared" si="4"/>
        <v/>
      </c>
      <c r="AC25" s="2" t="str">
        <f t="shared" si="5"/>
        <v/>
      </c>
      <c r="AD25" s="2" t="str">
        <f t="shared" si="5"/>
        <v/>
      </c>
    </row>
    <row r="26" spans="1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si="7"/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ref="AC55:AD58" si="8">IF(OR(AC$14="",$E55=""),"",AB55)</f>
        <v/>
      </c>
      <c r="AD55" s="2" t="str">
        <f t="shared" si="8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si="8"/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G57" s="2" t="str">
        <f t="shared" si="4"/>
        <v/>
      </c>
      <c r="H57" s="2" t="str">
        <f t="shared" si="4"/>
        <v/>
      </c>
      <c r="I57" s="2" t="str">
        <f t="shared" si="4"/>
        <v/>
      </c>
      <c r="J57" s="2" t="str">
        <f t="shared" si="4"/>
        <v/>
      </c>
      <c r="K57" s="2" t="str">
        <f t="shared" si="4"/>
        <v/>
      </c>
      <c r="L57" s="2" t="str">
        <f t="shared" si="4"/>
        <v/>
      </c>
      <c r="M57" s="2" t="str">
        <f t="shared" si="4"/>
        <v/>
      </c>
      <c r="N57" s="2" t="str">
        <f t="shared" si="4"/>
        <v/>
      </c>
      <c r="O57" s="2" t="str">
        <f t="shared" si="4"/>
        <v/>
      </c>
      <c r="P57" s="2" t="str">
        <f t="shared" si="4"/>
        <v/>
      </c>
      <c r="Q57" s="2" t="str">
        <f t="shared" si="4"/>
        <v/>
      </c>
      <c r="R57" s="2" t="str">
        <f t="shared" si="4"/>
        <v/>
      </c>
      <c r="S57" s="2" t="str">
        <f t="shared" si="4"/>
        <v/>
      </c>
      <c r="T57" s="2" t="str">
        <f t="shared" si="4"/>
        <v/>
      </c>
      <c r="U57" s="2" t="str">
        <f t="shared" si="4"/>
        <v/>
      </c>
      <c r="V57" s="2" t="str">
        <f t="shared" ref="V57:AB58" si="9">IF(OR(V$14="",$E57=""),"",U57)</f>
        <v/>
      </c>
      <c r="W57" s="2" t="str">
        <f t="shared" si="9"/>
        <v/>
      </c>
      <c r="X57" s="2" t="str">
        <f t="shared" si="9"/>
        <v/>
      </c>
      <c r="Y57" s="2" t="str">
        <f t="shared" si="9"/>
        <v/>
      </c>
      <c r="Z57" s="2" t="str">
        <f t="shared" si="9"/>
        <v/>
      </c>
      <c r="AA57" s="2" t="str">
        <f t="shared" si="9"/>
        <v/>
      </c>
      <c r="AB57" s="2" t="str">
        <f t="shared" si="9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63" spans="4:30">
      <c r="D63" t="str">
        <f>IF(A63&lt;&gt;"","Planned","")</f>
        <v/>
      </c>
    </row>
  </sheetData>
  <conditionalFormatting sqref="A15:AD57">
    <cfRule type="expression" dxfId="177" priority="17" stopIfTrue="1">
      <formula>$D15="Done"</formula>
    </cfRule>
    <cfRule type="expression" dxfId="176" priority="18" stopIfTrue="1">
      <formula>$D15="Ongoing"</formula>
    </cfRule>
  </conditionalFormatting>
  <conditionalFormatting sqref="A15:D15">
    <cfRule type="expression" dxfId="175" priority="13" stopIfTrue="1">
      <formula>$D15="Done"</formula>
    </cfRule>
    <cfRule type="expression" dxfId="174" priority="14" stopIfTrue="1">
      <formula>$D15="Ongoing"</formula>
    </cfRule>
  </conditionalFormatting>
  <conditionalFormatting sqref="A15:D15">
    <cfRule type="expression" dxfId="173" priority="11" stopIfTrue="1">
      <formula>$D15="Done"</formula>
    </cfRule>
    <cfRule type="expression" dxfId="172" priority="12" stopIfTrue="1">
      <formula>$D15="Ongoing"</formula>
    </cfRule>
  </conditionalFormatting>
  <conditionalFormatting sqref="A16:D16">
    <cfRule type="expression" dxfId="171" priority="9" stopIfTrue="1">
      <formula>$D16="Done"</formula>
    </cfRule>
    <cfRule type="expression" dxfId="170" priority="10" stopIfTrue="1">
      <formula>$D16="Ongoing"</formula>
    </cfRule>
  </conditionalFormatting>
  <conditionalFormatting sqref="A16:D16">
    <cfRule type="expression" dxfId="169" priority="7" stopIfTrue="1">
      <formula>$D16="Done"</formula>
    </cfRule>
    <cfRule type="expression" dxfId="168" priority="8" stopIfTrue="1">
      <formula>$D16="Ongoing"</formula>
    </cfRule>
  </conditionalFormatting>
  <conditionalFormatting sqref="A16">
    <cfRule type="expression" dxfId="167" priority="5" stopIfTrue="1">
      <formula>$D16="Done"</formula>
    </cfRule>
    <cfRule type="expression" dxfId="166" priority="6" stopIfTrue="1">
      <formula>$D16="Ongoing"</formula>
    </cfRule>
  </conditionalFormatting>
  <conditionalFormatting sqref="A17:D17">
    <cfRule type="expression" dxfId="165" priority="3" stopIfTrue="1">
      <formula>$D17="Done"</formula>
    </cfRule>
    <cfRule type="expression" dxfId="164" priority="4" stopIfTrue="1">
      <formula>$D17="Ongoing"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AD64"/>
  <sheetViews>
    <sheetView workbookViewId="0">
      <pane ySplit="14" topLeftCell="A15" activePane="bottomLeft" state="frozen"/>
      <selection pane="bottomLeft" activeCell="B15" sqref="B15:B21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9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48.1</v>
      </c>
      <c r="F10" s="17">
        <f ca="1">IF(AND(SUM(OFFSET(F14,1,0,TaskRows,1))=0),0,SUM(OFFSET(F14,1,0,TaskRows,1)))</f>
        <v>48.1</v>
      </c>
      <c r="G10" s="17">
        <f t="shared" ref="G10:AD10" ca="1" si="0">IF(AND(SUM(OFFSET(G14,1,0,TaskRows,1))=0),"",SUM(OFFSET(G14,1,0,TaskRows,1)))</f>
        <v>45.1</v>
      </c>
      <c r="H10" s="17">
        <f t="shared" ca="1" si="0"/>
        <v>40.6</v>
      </c>
      <c r="I10" s="17">
        <f t="shared" ca="1" si="0"/>
        <v>36.1</v>
      </c>
      <c r="J10" s="17">
        <f t="shared" ca="1" si="0"/>
        <v>33.1</v>
      </c>
      <c r="K10" s="17">
        <f t="shared" ca="1" si="0"/>
        <v>29.1</v>
      </c>
      <c r="L10" s="17">
        <f t="shared" ca="1" si="0"/>
        <v>26.1</v>
      </c>
      <c r="M10" s="17">
        <f t="shared" ca="1" si="0"/>
        <v>24.1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7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48.1</v>
      </c>
      <c r="G11" s="2">
        <f t="shared" ref="G11:AD11" ca="1" si="1">IF(G14="","",TotalEffort-TotalEffort/(ImplementationDays)*(G14-1))</f>
        <v>42.087499999999999</v>
      </c>
      <c r="H11" s="2">
        <f t="shared" ca="1" si="1"/>
        <v>36.075000000000003</v>
      </c>
      <c r="I11" s="2">
        <f t="shared" ca="1" si="1"/>
        <v>30.0625</v>
      </c>
      <c r="J11" s="2">
        <f t="shared" ca="1" si="1"/>
        <v>24.05</v>
      </c>
      <c r="K11" s="2">
        <f t="shared" ca="1" si="1"/>
        <v>18.037500000000001</v>
      </c>
      <c r="L11" s="2">
        <f t="shared" ca="1" si="1"/>
        <v>12.024999999999999</v>
      </c>
      <c r="M11" s="2">
        <f t="shared" ca="1" si="1"/>
        <v>6.0125000000000028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45.199999999999996</v>
      </c>
      <c r="G12" s="2">
        <f t="shared" ca="1" si="2"/>
        <v>42.099999999999994</v>
      </c>
      <c r="H12" s="2">
        <f t="shared" ca="1" si="2"/>
        <v>39</v>
      </c>
      <c r="I12" s="2">
        <f t="shared" ca="1" si="2"/>
        <v>35.9</v>
      </c>
      <c r="J12" s="2">
        <f t="shared" ca="1" si="2"/>
        <v>32.799999999999997</v>
      </c>
      <c r="K12" s="2">
        <f t="shared" ca="1" si="2"/>
        <v>29.7</v>
      </c>
      <c r="L12" s="2">
        <f t="shared" ca="1" si="2"/>
        <v>26.6</v>
      </c>
      <c r="M12" s="2">
        <f t="shared" ca="1" si="2"/>
        <v>23.5</v>
      </c>
      <c r="N12" s="2">
        <f t="shared" ca="1" si="2"/>
        <v>20.399999999999999</v>
      </c>
      <c r="O12" s="2">
        <f t="shared" ca="1" si="2"/>
        <v>17.3</v>
      </c>
      <c r="P12" s="2">
        <f t="shared" ca="1" si="2"/>
        <v>14.200000000000003</v>
      </c>
      <c r="Q12" s="2">
        <f t="shared" ca="1" si="2"/>
        <v>11.100000000000001</v>
      </c>
      <c r="R12" s="2">
        <f t="shared" ca="1" si="2"/>
        <v>8</v>
      </c>
      <c r="S12" s="2">
        <f t="shared" ca="1" si="2"/>
        <v>4.9000000000000057</v>
      </c>
      <c r="T12" s="2">
        <f t="shared" ca="1" si="2"/>
        <v>1.8000000000000043</v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2">
        <v>0.1</v>
      </c>
      <c r="F15" s="2">
        <f t="shared" ref="F15:U59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  <c r="K15" s="2">
        <v>0.1</v>
      </c>
      <c r="L15" s="2">
        <v>0.1</v>
      </c>
      <c r="M15" s="2">
        <v>0.1</v>
      </c>
    </row>
    <row r="16" spans="1:30">
      <c r="A16" s="103" t="s">
        <v>210</v>
      </c>
      <c r="B16" s="2">
        <v>12</v>
      </c>
      <c r="C16" s="103" t="s">
        <v>98</v>
      </c>
      <c r="D16" t="s">
        <v>76</v>
      </c>
      <c r="E16" s="2">
        <v>7</v>
      </c>
      <c r="F16" s="2">
        <f t="shared" si="4"/>
        <v>7</v>
      </c>
      <c r="G16" s="2">
        <v>6</v>
      </c>
      <c r="H16" s="2">
        <v>5</v>
      </c>
      <c r="I16" s="2">
        <v>4</v>
      </c>
      <c r="J16" s="2">
        <v>3</v>
      </c>
      <c r="K16" s="2">
        <v>2</v>
      </c>
      <c r="L16" s="2">
        <v>2</v>
      </c>
      <c r="M16" s="2">
        <v>2</v>
      </c>
      <c r="AC16" s="2" t="str">
        <f t="shared" ref="AC16:AD35" si="5">IF(OR(AC$14="",$E16=""),"",AB16)</f>
        <v/>
      </c>
      <c r="AD16" s="2" t="str">
        <f t="shared" si="5"/>
        <v/>
      </c>
    </row>
    <row r="17" spans="1:30">
      <c r="A17" s="103" t="s">
        <v>218</v>
      </c>
      <c r="B17" s="2">
        <v>10</v>
      </c>
      <c r="C17" s="103" t="s">
        <v>148</v>
      </c>
      <c r="D17" t="s">
        <v>76</v>
      </c>
      <c r="E17" s="2">
        <v>10</v>
      </c>
      <c r="F17" s="2">
        <f t="shared" si="4"/>
        <v>10</v>
      </c>
      <c r="G17" s="2">
        <v>10</v>
      </c>
      <c r="H17" s="2">
        <v>9</v>
      </c>
      <c r="I17" s="2">
        <v>8</v>
      </c>
      <c r="J17" s="2">
        <v>7</v>
      </c>
      <c r="K17" s="2">
        <v>6</v>
      </c>
      <c r="L17" s="2">
        <v>5</v>
      </c>
      <c r="M17" s="2">
        <v>4</v>
      </c>
      <c r="AC17" s="2" t="str">
        <f t="shared" si="5"/>
        <v/>
      </c>
      <c r="AD17" s="2" t="str">
        <f t="shared" si="5"/>
        <v/>
      </c>
    </row>
    <row r="18" spans="1:30">
      <c r="A18" s="103" t="s">
        <v>219</v>
      </c>
      <c r="B18" s="2">
        <v>11</v>
      </c>
      <c r="C18" s="103" t="s">
        <v>202</v>
      </c>
      <c r="D18" t="s">
        <v>76</v>
      </c>
      <c r="E18" s="2">
        <v>15</v>
      </c>
      <c r="F18" s="2">
        <v>15</v>
      </c>
      <c r="G18" s="2">
        <v>14</v>
      </c>
      <c r="H18" s="2">
        <v>13</v>
      </c>
      <c r="I18" s="2">
        <v>12</v>
      </c>
      <c r="J18" s="2">
        <v>12</v>
      </c>
      <c r="K18" s="2">
        <v>12</v>
      </c>
      <c r="L18" s="2">
        <v>12</v>
      </c>
      <c r="M18" s="2">
        <v>12</v>
      </c>
      <c r="AC18" s="2" t="str">
        <f t="shared" si="5"/>
        <v/>
      </c>
      <c r="AD18" s="2" t="str">
        <f t="shared" si="5"/>
        <v/>
      </c>
    </row>
    <row r="19" spans="1:30">
      <c r="A19" s="103" t="s">
        <v>205</v>
      </c>
      <c r="B19" s="2">
        <v>5</v>
      </c>
      <c r="C19" s="103" t="s">
        <v>98</v>
      </c>
      <c r="D19" t="str">
        <f t="shared" ref="D19:D59" si="6">IF(A19&lt;&gt;"","Planned","")</f>
        <v>Planned</v>
      </c>
      <c r="E19" s="2">
        <v>1</v>
      </c>
      <c r="F19" s="2">
        <f t="shared" si="4"/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  <c r="L19" s="2">
        <v>1</v>
      </c>
      <c r="M19" s="2">
        <v>1</v>
      </c>
      <c r="AC19" s="2" t="str">
        <f t="shared" si="5"/>
        <v/>
      </c>
      <c r="AD19" s="2" t="str">
        <f t="shared" si="5"/>
        <v/>
      </c>
    </row>
    <row r="20" spans="1:30">
      <c r="A20" s="103" t="s">
        <v>221</v>
      </c>
      <c r="B20" s="2">
        <v>11</v>
      </c>
      <c r="C20" s="103" t="s">
        <v>98</v>
      </c>
      <c r="D20" t="s">
        <v>76</v>
      </c>
      <c r="E20" s="2">
        <v>5</v>
      </c>
      <c r="F20" s="2">
        <f t="shared" si="4"/>
        <v>5</v>
      </c>
      <c r="G20" s="2">
        <v>5</v>
      </c>
      <c r="H20" s="2">
        <v>4.5</v>
      </c>
      <c r="I20" s="2">
        <v>4</v>
      </c>
      <c r="J20" s="2">
        <v>4</v>
      </c>
      <c r="K20" s="2">
        <v>3</v>
      </c>
      <c r="L20" s="2">
        <v>2</v>
      </c>
      <c r="M20" s="2">
        <v>2</v>
      </c>
      <c r="AC20" s="2" t="str">
        <f t="shared" si="5"/>
        <v/>
      </c>
      <c r="AD20" s="2" t="str">
        <f t="shared" si="5"/>
        <v/>
      </c>
    </row>
    <row r="21" spans="1:30">
      <c r="A21" s="103" t="s">
        <v>222</v>
      </c>
      <c r="B21" s="2">
        <v>13</v>
      </c>
      <c r="C21" s="103" t="s">
        <v>98</v>
      </c>
      <c r="D21" t="s">
        <v>76</v>
      </c>
      <c r="E21" s="2">
        <v>10</v>
      </c>
      <c r="F21" s="2">
        <f t="shared" si="4"/>
        <v>10</v>
      </c>
      <c r="G21" s="2">
        <v>9</v>
      </c>
      <c r="H21" s="2">
        <v>8</v>
      </c>
      <c r="I21" s="2">
        <v>7</v>
      </c>
      <c r="J21" s="2">
        <v>6</v>
      </c>
      <c r="K21" s="2">
        <v>5</v>
      </c>
      <c r="L21" s="2">
        <v>4</v>
      </c>
      <c r="M21" s="2">
        <v>3</v>
      </c>
      <c r="AC21" s="2" t="str">
        <f t="shared" si="5"/>
        <v/>
      </c>
      <c r="AD21" s="2" t="str">
        <f t="shared" si="5"/>
        <v/>
      </c>
    </row>
    <row r="22" spans="1:30">
      <c r="D22" t="str">
        <f t="shared" si="6"/>
        <v/>
      </c>
      <c r="F22" s="2" t="str">
        <f t="shared" si="4"/>
        <v/>
      </c>
      <c r="AC22" s="2" t="str">
        <f t="shared" si="5"/>
        <v/>
      </c>
      <c r="AD22" s="2" t="str">
        <f t="shared" si="5"/>
        <v/>
      </c>
    </row>
    <row r="23" spans="1:30">
      <c r="D23" t="str">
        <f t="shared" si="6"/>
        <v/>
      </c>
      <c r="F23" s="2" t="str">
        <f t="shared" si="4"/>
        <v/>
      </c>
      <c r="AC23" s="2" t="str">
        <f t="shared" si="5"/>
        <v/>
      </c>
      <c r="AD23" s="2" t="str">
        <f t="shared" si="5"/>
        <v/>
      </c>
    </row>
    <row r="24" spans="1:30">
      <c r="D24" t="str">
        <f t="shared" si="6"/>
        <v/>
      </c>
      <c r="F24" s="2" t="str">
        <f t="shared" si="4"/>
        <v/>
      </c>
      <c r="AC24" s="2" t="str">
        <f t="shared" si="5"/>
        <v/>
      </c>
      <c r="AD24" s="2" t="str">
        <f t="shared" si="5"/>
        <v/>
      </c>
    </row>
    <row r="25" spans="1:30">
      <c r="D25" t="str">
        <f t="shared" si="6"/>
        <v/>
      </c>
      <c r="F25" s="2" t="str">
        <f t="shared" si="4"/>
        <v/>
      </c>
      <c r="AC25" s="2" t="str">
        <f t="shared" si="5"/>
        <v/>
      </c>
      <c r="AD25" s="2" t="str">
        <f t="shared" si="5"/>
        <v/>
      </c>
    </row>
    <row r="26" spans="1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163" priority="15" stopIfTrue="1">
      <formula>$D15="Done"</formula>
    </cfRule>
    <cfRule type="expression" dxfId="162" priority="16" stopIfTrue="1">
      <formula>$D15="Ongoing"</formula>
    </cfRule>
  </conditionalFormatting>
  <conditionalFormatting sqref="A15:I18">
    <cfRule type="expression" dxfId="161" priority="13" stopIfTrue="1">
      <formula>$D15="Done"</formula>
    </cfRule>
    <cfRule type="expression" dxfId="160" priority="14" stopIfTrue="1">
      <formula>$D15="Ongoing"</formula>
    </cfRule>
  </conditionalFormatting>
  <conditionalFormatting sqref="A15">
    <cfRule type="expression" dxfId="159" priority="11" stopIfTrue="1">
      <formula>$D15="Done"</formula>
    </cfRule>
    <cfRule type="expression" dxfId="158" priority="12" stopIfTrue="1">
      <formula>$D15="Ongoing"</formula>
    </cfRule>
  </conditionalFormatting>
  <conditionalFormatting sqref="A15">
    <cfRule type="expression" dxfId="157" priority="9" stopIfTrue="1">
      <formula>$D15="Done"</formula>
    </cfRule>
    <cfRule type="expression" dxfId="156" priority="10" stopIfTrue="1">
      <formula>$D15="Ongoing"</formula>
    </cfRule>
  </conditionalFormatting>
  <conditionalFormatting sqref="A15">
    <cfRule type="expression" dxfId="155" priority="7" stopIfTrue="1">
      <formula>$D15="Done"</formula>
    </cfRule>
    <cfRule type="expression" dxfId="154" priority="8" stopIfTrue="1">
      <formula>$D15="Ongoing"</formula>
    </cfRule>
  </conditionalFormatting>
  <conditionalFormatting sqref="A15">
    <cfRule type="expression" dxfId="153" priority="5" stopIfTrue="1">
      <formula>$D15="Done"</formula>
    </cfRule>
    <cfRule type="expression" dxfId="152" priority="6" stopIfTrue="1">
      <formula>$D15="Ongoing"</formula>
    </cfRule>
  </conditionalFormatting>
  <conditionalFormatting sqref="A16">
    <cfRule type="expression" dxfId="151" priority="3" stopIfTrue="1">
      <formula>$D16="Done"</formula>
    </cfRule>
    <cfRule type="expression" dxfId="150" priority="4" stopIfTrue="1">
      <formula>$D16="Ongoing"</formula>
    </cfRule>
  </conditionalFormatting>
  <conditionalFormatting sqref="A19">
    <cfRule type="expression" dxfId="149" priority="1" stopIfTrue="1">
      <formula>$D19="Done"</formula>
    </cfRule>
    <cfRule type="expression" dxfId="148" priority="2" stopIfTrue="1">
      <formula>$D19="Ongoing"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AD64"/>
  <sheetViews>
    <sheetView workbookViewId="0">
      <pane ySplit="14" topLeftCell="A15" activePane="bottomLeft" state="frozen"/>
      <selection pane="bottomLeft" activeCell="K19" sqref="K19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10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34.1</v>
      </c>
      <c r="F10" s="17">
        <f ca="1">IF(AND(SUM(OFFSET(F14,1,0,TaskRows,1))=0),0,SUM(OFFSET(F14,1,0,TaskRows,1)))</f>
        <v>34.1</v>
      </c>
      <c r="G10" s="17">
        <f t="shared" ref="G10:AD10" ca="1" si="0">IF(AND(SUM(OFFSET(G14,1,0,TaskRows,1))=0),"",SUM(OFFSET(G14,1,0,TaskRows,1)))</f>
        <v>31.1</v>
      </c>
      <c r="H10" s="17">
        <f t="shared" ca="1" si="0"/>
        <v>29.1</v>
      </c>
      <c r="I10" s="17">
        <f t="shared" ca="1" si="0"/>
        <v>26.1</v>
      </c>
      <c r="J10" s="17">
        <f t="shared" ca="1" si="0"/>
        <v>25.1</v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8</v>
      </c>
      <c r="C11" t="s">
        <v>23</v>
      </c>
      <c r="D11" s="2">
        <f ca="1">IF(COUNTIF(F10:AD10,"&gt;0")=0,1,COUNTIF(F10:AD10,"&gt;0"))</f>
        <v>5</v>
      </c>
      <c r="F11" s="2">
        <f ca="1">IF(F14="","",$E10-$E10/($B9-1)*(F14-1))</f>
        <v>34.1</v>
      </c>
      <c r="G11" s="2">
        <f t="shared" ref="G11:AD11" ca="1" si="1">IF(G14="","",TotalEffort-TotalEffort/(ImplementationDays)*(G14-1))</f>
        <v>27.28</v>
      </c>
      <c r="H11" s="2">
        <f t="shared" ca="1" si="1"/>
        <v>20.46</v>
      </c>
      <c r="I11" s="2">
        <f t="shared" ca="1" si="1"/>
        <v>13.64</v>
      </c>
      <c r="J11" s="2">
        <f t="shared" ca="1" si="1"/>
        <v>6.82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33.700000000000003</v>
      </c>
      <c r="G12" s="2">
        <f t="shared" ca="1" si="2"/>
        <v>31.400000000000002</v>
      </c>
      <c r="H12" s="2">
        <f t="shared" ca="1" si="2"/>
        <v>29.1</v>
      </c>
      <c r="I12" s="2">
        <f t="shared" ca="1" si="2"/>
        <v>26.800000000000004</v>
      </c>
      <c r="J12" s="2">
        <f t="shared" ca="1" si="2"/>
        <v>24.500000000000004</v>
      </c>
      <c r="K12" s="2">
        <f t="shared" ca="1" si="2"/>
        <v>22.200000000000003</v>
      </c>
      <c r="L12" s="2">
        <f t="shared" ca="1" si="2"/>
        <v>19.900000000000006</v>
      </c>
      <c r="M12" s="2">
        <f t="shared" ca="1" si="2"/>
        <v>17.600000000000005</v>
      </c>
      <c r="N12" s="2">
        <f t="shared" ca="1" si="2"/>
        <v>15.300000000000004</v>
      </c>
      <c r="O12" s="2">
        <f t="shared" ca="1" si="2"/>
        <v>13.000000000000007</v>
      </c>
      <c r="P12" s="2">
        <f t="shared" ca="1" si="2"/>
        <v>10.700000000000006</v>
      </c>
      <c r="Q12" s="2">
        <f t="shared" ca="1" si="2"/>
        <v>8.4000000000000057</v>
      </c>
      <c r="R12" s="2">
        <f t="shared" ca="1" si="2"/>
        <v>6.1000000000000085</v>
      </c>
      <c r="S12" s="2">
        <f t="shared" ca="1" si="2"/>
        <v>3.8000000000000114</v>
      </c>
      <c r="T12" s="2">
        <f t="shared" ca="1" si="2"/>
        <v>1.5000000000000071</v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2">
        <v>0.1</v>
      </c>
      <c r="F15" s="2">
        <f t="shared" ref="F15:U59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</row>
    <row r="16" spans="1:30">
      <c r="A16" s="103" t="s">
        <v>210</v>
      </c>
      <c r="B16" s="2">
        <v>12</v>
      </c>
      <c r="C16" s="103" t="s">
        <v>98</v>
      </c>
      <c r="D16" t="s">
        <v>75</v>
      </c>
      <c r="E16" s="2">
        <v>2</v>
      </c>
      <c r="F16" s="2">
        <f t="shared" si="4"/>
        <v>2</v>
      </c>
      <c r="G16" s="2">
        <v>2</v>
      </c>
      <c r="H16" s="2">
        <v>1</v>
      </c>
      <c r="I16" s="2">
        <v>0</v>
      </c>
      <c r="AC16" s="2" t="str">
        <f t="shared" ref="AC16:AD35" si="5">IF(OR(AC$14="",$E16=""),"",AB16)</f>
        <v/>
      </c>
      <c r="AD16" s="2" t="str">
        <f t="shared" si="5"/>
        <v/>
      </c>
    </row>
    <row r="17" spans="1:30">
      <c r="A17" s="103" t="s">
        <v>218</v>
      </c>
      <c r="B17" s="2">
        <v>10</v>
      </c>
      <c r="C17" s="103" t="s">
        <v>148</v>
      </c>
      <c r="D17" t="s">
        <v>75</v>
      </c>
      <c r="E17" s="2">
        <v>4</v>
      </c>
      <c r="F17" s="2">
        <f t="shared" si="4"/>
        <v>4</v>
      </c>
      <c r="G17" s="2">
        <v>3</v>
      </c>
      <c r="H17" s="2">
        <v>2</v>
      </c>
      <c r="I17" s="2">
        <v>1</v>
      </c>
      <c r="J17" s="2">
        <v>0</v>
      </c>
      <c r="AC17" s="2" t="str">
        <f t="shared" si="5"/>
        <v/>
      </c>
      <c r="AD17" s="2" t="str">
        <f t="shared" si="5"/>
        <v/>
      </c>
    </row>
    <row r="18" spans="1:30">
      <c r="A18" s="103" t="s">
        <v>219</v>
      </c>
      <c r="B18" s="2">
        <v>11</v>
      </c>
      <c r="C18" s="103" t="s">
        <v>224</v>
      </c>
      <c r="D18" t="str">
        <f t="shared" ref="D18:D59" si="6">IF(A18&lt;&gt;"","Planned","")</f>
        <v>Planned</v>
      </c>
      <c r="E18" s="2">
        <v>12</v>
      </c>
      <c r="F18" s="2">
        <f t="shared" si="4"/>
        <v>12</v>
      </c>
      <c r="G18" s="2">
        <v>12</v>
      </c>
      <c r="H18" s="2">
        <v>12</v>
      </c>
      <c r="I18" s="2">
        <v>12</v>
      </c>
      <c r="J18" s="2">
        <v>12</v>
      </c>
      <c r="AC18" s="2" t="str">
        <f t="shared" si="5"/>
        <v/>
      </c>
      <c r="AD18" s="2" t="str">
        <f t="shared" si="5"/>
        <v/>
      </c>
    </row>
    <row r="19" spans="1:30">
      <c r="A19" s="103" t="s">
        <v>205</v>
      </c>
      <c r="B19" s="2">
        <v>5</v>
      </c>
      <c r="C19" s="103" t="s">
        <v>98</v>
      </c>
      <c r="D19" t="s">
        <v>19</v>
      </c>
      <c r="E19" s="2">
        <v>1</v>
      </c>
      <c r="F19" s="2">
        <f t="shared" si="4"/>
        <v>1</v>
      </c>
      <c r="G19" s="2">
        <v>1</v>
      </c>
      <c r="H19" s="2">
        <v>1</v>
      </c>
      <c r="I19" s="2">
        <v>1</v>
      </c>
      <c r="J19" s="2">
        <v>1</v>
      </c>
      <c r="AC19" s="2" t="str">
        <f t="shared" si="5"/>
        <v/>
      </c>
      <c r="AD19" s="2" t="str">
        <f t="shared" si="5"/>
        <v/>
      </c>
    </row>
    <row r="20" spans="1:30">
      <c r="A20" s="103" t="s">
        <v>221</v>
      </c>
      <c r="B20" s="2">
        <v>11</v>
      </c>
      <c r="C20" s="103" t="s">
        <v>98</v>
      </c>
      <c r="D20" t="s">
        <v>76</v>
      </c>
      <c r="E20" s="2">
        <v>2</v>
      </c>
      <c r="F20" s="2">
        <f t="shared" si="4"/>
        <v>2</v>
      </c>
      <c r="G20" s="2">
        <v>1</v>
      </c>
      <c r="H20" s="2">
        <v>1</v>
      </c>
      <c r="I20" s="2">
        <v>1</v>
      </c>
      <c r="J20" s="2">
        <v>1</v>
      </c>
      <c r="AC20" s="2" t="str">
        <f t="shared" si="5"/>
        <v/>
      </c>
      <c r="AD20" s="2" t="str">
        <f t="shared" si="5"/>
        <v/>
      </c>
    </row>
    <row r="21" spans="1:30">
      <c r="A21" s="103" t="s">
        <v>222</v>
      </c>
      <c r="B21" s="2">
        <v>13</v>
      </c>
      <c r="C21" s="103" t="s">
        <v>98</v>
      </c>
      <c r="D21" t="s">
        <v>76</v>
      </c>
      <c r="E21" s="2">
        <v>3</v>
      </c>
      <c r="F21" s="2">
        <f t="shared" si="4"/>
        <v>3</v>
      </c>
      <c r="G21" s="2">
        <v>2</v>
      </c>
      <c r="H21" s="2">
        <v>2</v>
      </c>
      <c r="I21" s="2">
        <v>1</v>
      </c>
      <c r="J21" s="2">
        <v>1</v>
      </c>
      <c r="AC21" s="2" t="str">
        <f t="shared" si="5"/>
        <v/>
      </c>
      <c r="AD21" s="2" t="str">
        <f t="shared" si="5"/>
        <v/>
      </c>
    </row>
    <row r="22" spans="1:30">
      <c r="A22" s="103" t="s">
        <v>223</v>
      </c>
      <c r="B22" s="2">
        <v>13</v>
      </c>
      <c r="C22" s="103" t="s">
        <v>148</v>
      </c>
      <c r="D22" t="str">
        <f t="shared" si="6"/>
        <v>Planned</v>
      </c>
      <c r="E22" s="2">
        <v>10</v>
      </c>
      <c r="F22" s="2">
        <f t="shared" si="4"/>
        <v>10</v>
      </c>
      <c r="G22" s="2">
        <v>10</v>
      </c>
      <c r="H22" s="2">
        <v>10</v>
      </c>
      <c r="I22" s="2">
        <v>10</v>
      </c>
      <c r="J22" s="2">
        <v>10</v>
      </c>
      <c r="AC22" s="2" t="str">
        <f t="shared" si="5"/>
        <v/>
      </c>
      <c r="AD22" s="2" t="str">
        <f t="shared" si="5"/>
        <v/>
      </c>
    </row>
    <row r="23" spans="1:30">
      <c r="D23" t="str">
        <f t="shared" si="6"/>
        <v/>
      </c>
      <c r="F23" s="2" t="str">
        <f t="shared" si="4"/>
        <v/>
      </c>
      <c r="AC23" s="2" t="str">
        <f t="shared" si="5"/>
        <v/>
      </c>
      <c r="AD23" s="2" t="str">
        <f t="shared" si="5"/>
        <v/>
      </c>
    </row>
    <row r="24" spans="1:30">
      <c r="D24" t="str">
        <f t="shared" si="6"/>
        <v/>
      </c>
      <c r="F24" s="2" t="str">
        <f t="shared" si="4"/>
        <v/>
      </c>
      <c r="AC24" s="2" t="str">
        <f t="shared" si="5"/>
        <v/>
      </c>
      <c r="AD24" s="2" t="str">
        <f t="shared" si="5"/>
        <v/>
      </c>
    </row>
    <row r="25" spans="1:30">
      <c r="D25" t="str">
        <f t="shared" si="6"/>
        <v/>
      </c>
      <c r="F25" s="2" t="str">
        <f t="shared" si="4"/>
        <v/>
      </c>
      <c r="AC25" s="2" t="str">
        <f t="shared" si="5"/>
        <v/>
      </c>
      <c r="AD25" s="2" t="str">
        <f t="shared" si="5"/>
        <v/>
      </c>
    </row>
    <row r="26" spans="1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147" priority="23" stopIfTrue="1">
      <formula>$D15="Done"</formula>
    </cfRule>
    <cfRule type="expression" dxfId="146" priority="24" stopIfTrue="1">
      <formula>$D15="Ongoing"</formula>
    </cfRule>
  </conditionalFormatting>
  <conditionalFormatting sqref="A15:I18">
    <cfRule type="expression" dxfId="145" priority="21" stopIfTrue="1">
      <formula>$D15="Done"</formula>
    </cfRule>
    <cfRule type="expression" dxfId="144" priority="22" stopIfTrue="1">
      <formula>$D15="Ongoing"</formula>
    </cfRule>
  </conditionalFormatting>
  <conditionalFormatting sqref="A19:A21">
    <cfRule type="expression" dxfId="143" priority="19" stopIfTrue="1">
      <formula>$D19="Done"</formula>
    </cfRule>
    <cfRule type="expression" dxfId="142" priority="20" stopIfTrue="1">
      <formula>$D19="Ongoing"</formula>
    </cfRule>
  </conditionalFormatting>
  <conditionalFormatting sqref="A15:A18">
    <cfRule type="expression" dxfId="141" priority="17" stopIfTrue="1">
      <formula>$D15="Done"</formula>
    </cfRule>
    <cfRule type="expression" dxfId="140" priority="18" stopIfTrue="1">
      <formula>$D15="Ongoing"</formula>
    </cfRule>
  </conditionalFormatting>
  <conditionalFormatting sqref="A15">
    <cfRule type="expression" dxfId="139" priority="15" stopIfTrue="1">
      <formula>$D15="Done"</formula>
    </cfRule>
    <cfRule type="expression" dxfId="138" priority="16" stopIfTrue="1">
      <formula>$D15="Ongoing"</formula>
    </cfRule>
  </conditionalFormatting>
  <conditionalFormatting sqref="A15">
    <cfRule type="expression" dxfId="137" priority="13" stopIfTrue="1">
      <formula>$D15="Done"</formula>
    </cfRule>
    <cfRule type="expression" dxfId="136" priority="14" stopIfTrue="1">
      <formula>$D15="Ongoing"</formula>
    </cfRule>
  </conditionalFormatting>
  <conditionalFormatting sqref="A15">
    <cfRule type="expression" dxfId="135" priority="11" stopIfTrue="1">
      <formula>$D15="Done"</formula>
    </cfRule>
    <cfRule type="expression" dxfId="134" priority="12" stopIfTrue="1">
      <formula>$D15="Ongoing"</formula>
    </cfRule>
  </conditionalFormatting>
  <conditionalFormatting sqref="A15">
    <cfRule type="expression" dxfId="133" priority="9" stopIfTrue="1">
      <formula>$D15="Done"</formula>
    </cfRule>
    <cfRule type="expression" dxfId="132" priority="10" stopIfTrue="1">
      <formula>$D15="Ongoing"</formula>
    </cfRule>
  </conditionalFormatting>
  <conditionalFormatting sqref="A16">
    <cfRule type="expression" dxfId="131" priority="7" stopIfTrue="1">
      <formula>$D16="Done"</formula>
    </cfRule>
    <cfRule type="expression" dxfId="130" priority="8" stopIfTrue="1">
      <formula>$D16="Ongoing"</formula>
    </cfRule>
  </conditionalFormatting>
  <conditionalFormatting sqref="A19">
    <cfRule type="expression" dxfId="129" priority="5" stopIfTrue="1">
      <formula>$D19="Done"</formula>
    </cfRule>
    <cfRule type="expression" dxfId="128" priority="6" stopIfTrue="1">
      <formula>$D19="Ongoing"</formula>
    </cfRule>
  </conditionalFormatting>
  <conditionalFormatting sqref="B19:B21">
    <cfRule type="expression" dxfId="127" priority="3" stopIfTrue="1">
      <formula>$D19="Done"</formula>
    </cfRule>
    <cfRule type="expression" dxfId="126" priority="4" stopIfTrue="1">
      <formula>$D19="Ongoing"</formula>
    </cfRule>
  </conditionalFormatting>
  <conditionalFormatting sqref="B15:B18">
    <cfRule type="expression" dxfId="125" priority="1" stopIfTrue="1">
      <formula>$D15="Done"</formula>
    </cfRule>
    <cfRule type="expression" dxfId="124" priority="2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AD64"/>
  <sheetViews>
    <sheetView workbookViewId="0">
      <pane ySplit="14" topLeftCell="A15" activePane="bottomLeft" state="frozen"/>
      <selection pane="bottomLeft" activeCell="B27" sqref="B27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11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36.1</v>
      </c>
      <c r="F10" s="17">
        <f ca="1">IF(AND(SUM(OFFSET(F14,1,0,TaskRows,1))=0),0,SUM(OFFSET(F14,1,0,TaskRows,1)))</f>
        <v>34.1</v>
      </c>
      <c r="G10" s="17">
        <f t="shared" ref="G10:AD10" ca="1" si="0">IF(AND(SUM(OFFSET(G14,1,0,TaskRows,1))=0),"",SUM(OFFSET(G14,1,0,TaskRows,1)))</f>
        <v>30.6</v>
      </c>
      <c r="H10" s="17">
        <f t="shared" ca="1" si="0"/>
        <v>27.6</v>
      </c>
      <c r="I10" s="17">
        <f t="shared" ca="1" si="0"/>
        <v>26.6</v>
      </c>
      <c r="J10" s="17">
        <f t="shared" ca="1" si="0"/>
        <v>25.1</v>
      </c>
      <c r="K10" s="17">
        <f t="shared" ca="1" si="0"/>
        <v>23.1</v>
      </c>
      <c r="L10" s="17">
        <f t="shared" ca="1" si="0"/>
        <v>20.100000000000001</v>
      </c>
      <c r="M10" s="17">
        <f t="shared" ca="1" si="0"/>
        <v>18.600000000000001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12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36.1</v>
      </c>
      <c r="G11" s="2">
        <f t="shared" ref="G11:AD11" ca="1" si="1">IF(G14="","",TotalEffort-TotalEffort/(ImplementationDays)*(G14-1))</f>
        <v>31.587500000000002</v>
      </c>
      <c r="H11" s="2">
        <f t="shared" ca="1" si="1"/>
        <v>27.075000000000003</v>
      </c>
      <c r="I11" s="2">
        <f t="shared" ca="1" si="1"/>
        <v>22.5625</v>
      </c>
      <c r="J11" s="2">
        <f t="shared" ca="1" si="1"/>
        <v>18.05</v>
      </c>
      <c r="K11" s="2">
        <f t="shared" ca="1" si="1"/>
        <v>13.537500000000001</v>
      </c>
      <c r="L11" s="2">
        <f t="shared" ca="1" si="1"/>
        <v>9.0249999999999986</v>
      </c>
      <c r="M11" s="2">
        <f t="shared" ca="1" si="1"/>
        <v>4.5124999999999993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33.199999999999996</v>
      </c>
      <c r="G12" s="2">
        <f t="shared" ca="1" si="2"/>
        <v>31.099999999999998</v>
      </c>
      <c r="H12" s="2">
        <f t="shared" ca="1" si="2"/>
        <v>28.999999999999996</v>
      </c>
      <c r="I12" s="2">
        <f t="shared" ca="1" si="2"/>
        <v>26.9</v>
      </c>
      <c r="J12" s="2">
        <f t="shared" ca="1" si="2"/>
        <v>24.799999999999997</v>
      </c>
      <c r="K12" s="2">
        <f t="shared" ca="1" si="2"/>
        <v>22.699999999999996</v>
      </c>
      <c r="L12" s="2">
        <f t="shared" ca="1" si="2"/>
        <v>20.599999999999994</v>
      </c>
      <c r="M12" s="2">
        <f t="shared" ca="1" si="2"/>
        <v>18.499999999999996</v>
      </c>
      <c r="N12" s="2">
        <f t="shared" ca="1" si="2"/>
        <v>16.399999999999995</v>
      </c>
      <c r="O12" s="2">
        <f t="shared" ca="1" si="2"/>
        <v>14.299999999999997</v>
      </c>
      <c r="P12" s="2">
        <f t="shared" ca="1" si="2"/>
        <v>12.199999999999996</v>
      </c>
      <c r="Q12" s="2">
        <f t="shared" ca="1" si="2"/>
        <v>10.099999999999994</v>
      </c>
      <c r="R12" s="2">
        <f t="shared" ca="1" si="2"/>
        <v>7.9999999999999964</v>
      </c>
      <c r="S12" s="2">
        <f t="shared" ca="1" si="2"/>
        <v>5.899999999999995</v>
      </c>
      <c r="T12" s="2">
        <f t="shared" ca="1" si="2"/>
        <v>3.7999999999999972</v>
      </c>
      <c r="U12" s="2">
        <f t="shared" ca="1" si="2"/>
        <v>1.6999999999999957</v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2">
        <v>0.1</v>
      </c>
      <c r="F15" s="2">
        <f t="shared" ref="F15:U59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  <c r="K15" s="2">
        <v>0.1</v>
      </c>
      <c r="L15" s="2">
        <v>0.1</v>
      </c>
      <c r="M15" s="2">
        <v>0.1</v>
      </c>
    </row>
    <row r="16" spans="1:30">
      <c r="A16" s="103" t="s">
        <v>219</v>
      </c>
      <c r="B16" s="2">
        <v>11</v>
      </c>
      <c r="C16" s="103" t="s">
        <v>228</v>
      </c>
      <c r="D16" t="s">
        <v>19</v>
      </c>
      <c r="E16" s="2">
        <v>12</v>
      </c>
      <c r="F16" s="2">
        <f t="shared" si="4"/>
        <v>12</v>
      </c>
      <c r="G16" s="2">
        <v>12</v>
      </c>
      <c r="H16" s="2">
        <v>12</v>
      </c>
      <c r="I16" s="2">
        <v>12</v>
      </c>
      <c r="J16" s="2">
        <v>12</v>
      </c>
      <c r="K16" s="2">
        <v>11</v>
      </c>
      <c r="L16" s="2">
        <v>10</v>
      </c>
      <c r="M16" s="2">
        <v>10</v>
      </c>
      <c r="AC16" s="2" t="str">
        <f t="shared" ref="AC16:AD35" si="5">IF(OR(AC$14="",$E16=""),"",AB16)</f>
        <v/>
      </c>
      <c r="AD16" s="2" t="str">
        <f t="shared" si="5"/>
        <v/>
      </c>
    </row>
    <row r="17" spans="1:30">
      <c r="A17" s="103" t="s">
        <v>205</v>
      </c>
      <c r="B17" s="2">
        <v>5</v>
      </c>
      <c r="C17" s="103" t="s">
        <v>98</v>
      </c>
      <c r="D17" t="str">
        <f t="shared" ref="D17:D59" si="6">IF(A17&lt;&gt;"","Planned","")</f>
        <v>Planned</v>
      </c>
      <c r="E17" s="2">
        <v>1</v>
      </c>
      <c r="F17" s="2">
        <f t="shared" si="4"/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2">
        <v>1</v>
      </c>
      <c r="AC17" s="2" t="str">
        <f t="shared" si="5"/>
        <v/>
      </c>
      <c r="AD17" s="2" t="str">
        <f t="shared" si="5"/>
        <v/>
      </c>
    </row>
    <row r="18" spans="1:30">
      <c r="A18" s="103" t="s">
        <v>221</v>
      </c>
      <c r="B18" s="2">
        <v>11</v>
      </c>
      <c r="C18" s="103" t="s">
        <v>98</v>
      </c>
      <c r="D18" t="s">
        <v>75</v>
      </c>
      <c r="E18" s="2">
        <v>1</v>
      </c>
      <c r="F18" s="2">
        <f t="shared" si="4"/>
        <v>1</v>
      </c>
      <c r="G18" s="2">
        <v>1</v>
      </c>
      <c r="H18" s="2">
        <v>0</v>
      </c>
      <c r="AC18" s="2" t="str">
        <f t="shared" si="5"/>
        <v/>
      </c>
      <c r="AD18" s="2" t="str">
        <f t="shared" si="5"/>
        <v/>
      </c>
    </row>
    <row r="19" spans="1:30">
      <c r="A19" s="103" t="s">
        <v>222</v>
      </c>
      <c r="B19" s="2">
        <v>13</v>
      </c>
      <c r="C19" s="103" t="s">
        <v>98</v>
      </c>
      <c r="D19" t="s">
        <v>76</v>
      </c>
      <c r="E19" s="2">
        <v>1</v>
      </c>
      <c r="F19" s="2">
        <f t="shared" si="4"/>
        <v>1</v>
      </c>
      <c r="G19" s="2">
        <v>1</v>
      </c>
      <c r="H19" s="2">
        <v>1</v>
      </c>
      <c r="I19" s="2">
        <v>1</v>
      </c>
      <c r="J19" s="2">
        <v>1</v>
      </c>
      <c r="K19" s="2">
        <v>1</v>
      </c>
      <c r="L19" s="2">
        <v>1</v>
      </c>
      <c r="M19" s="2">
        <v>0.5</v>
      </c>
      <c r="AC19" s="2" t="str">
        <f t="shared" si="5"/>
        <v/>
      </c>
      <c r="AD19" s="2" t="str">
        <f t="shared" si="5"/>
        <v/>
      </c>
    </row>
    <row r="20" spans="1:30">
      <c r="A20" s="103" t="s">
        <v>223</v>
      </c>
      <c r="B20" s="2">
        <v>13</v>
      </c>
      <c r="C20" s="103" t="s">
        <v>98</v>
      </c>
      <c r="D20" t="s">
        <v>76</v>
      </c>
      <c r="E20" s="2">
        <v>10</v>
      </c>
      <c r="F20" s="2">
        <v>9</v>
      </c>
      <c r="G20" s="2">
        <v>8</v>
      </c>
      <c r="H20" s="2">
        <v>7</v>
      </c>
      <c r="I20" s="2">
        <v>6</v>
      </c>
      <c r="J20" s="2">
        <v>5</v>
      </c>
      <c r="K20" s="2">
        <v>4</v>
      </c>
      <c r="L20" s="2">
        <v>3</v>
      </c>
      <c r="M20" s="2">
        <v>2</v>
      </c>
      <c r="AC20" s="2" t="str">
        <f t="shared" si="5"/>
        <v/>
      </c>
      <c r="AD20" s="2" t="str">
        <f t="shared" si="5"/>
        <v/>
      </c>
    </row>
    <row r="21" spans="1:30">
      <c r="A21" s="103" t="s">
        <v>225</v>
      </c>
      <c r="B21" s="2">
        <v>11</v>
      </c>
      <c r="C21" s="103" t="s">
        <v>98</v>
      </c>
      <c r="D21" t="s">
        <v>75</v>
      </c>
      <c r="E21" s="2">
        <v>0.5</v>
      </c>
      <c r="F21" s="2">
        <f t="shared" si="4"/>
        <v>0.5</v>
      </c>
      <c r="G21" s="2">
        <v>0</v>
      </c>
      <c r="AC21" s="2" t="str">
        <f t="shared" si="5"/>
        <v/>
      </c>
      <c r="AD21" s="2" t="str">
        <f t="shared" si="5"/>
        <v/>
      </c>
    </row>
    <row r="22" spans="1:30">
      <c r="A22" s="103" t="s">
        <v>226</v>
      </c>
      <c r="B22" s="2">
        <v>11</v>
      </c>
      <c r="C22" s="103" t="s">
        <v>98</v>
      </c>
      <c r="D22" t="s">
        <v>75</v>
      </c>
      <c r="E22" s="2">
        <v>1</v>
      </c>
      <c r="F22" s="2">
        <f t="shared" si="4"/>
        <v>1</v>
      </c>
      <c r="G22" s="2">
        <v>0</v>
      </c>
      <c r="AC22" s="2" t="str">
        <f t="shared" si="5"/>
        <v/>
      </c>
      <c r="AD22" s="2" t="str">
        <f t="shared" si="5"/>
        <v/>
      </c>
    </row>
    <row r="23" spans="1:30">
      <c r="A23" s="103" t="s">
        <v>227</v>
      </c>
      <c r="B23" s="2">
        <v>11</v>
      </c>
      <c r="C23" s="103" t="s">
        <v>98</v>
      </c>
      <c r="D23" t="s">
        <v>75</v>
      </c>
      <c r="E23" s="2">
        <v>0.5</v>
      </c>
      <c r="F23" s="2">
        <f t="shared" si="4"/>
        <v>0.5</v>
      </c>
      <c r="G23" s="2">
        <v>0.5</v>
      </c>
      <c r="H23" s="2">
        <v>0.5</v>
      </c>
      <c r="I23" s="2">
        <v>0.5</v>
      </c>
      <c r="J23" s="2">
        <v>0</v>
      </c>
      <c r="AC23" s="2" t="str">
        <f t="shared" si="5"/>
        <v/>
      </c>
      <c r="AD23" s="2" t="str">
        <f t="shared" si="5"/>
        <v/>
      </c>
    </row>
    <row r="24" spans="1:30">
      <c r="A24" s="103" t="s">
        <v>229</v>
      </c>
      <c r="B24" s="2">
        <v>11</v>
      </c>
      <c r="C24" s="103" t="s">
        <v>98</v>
      </c>
      <c r="D24" t="s">
        <v>76</v>
      </c>
      <c r="E24" s="2">
        <v>3</v>
      </c>
      <c r="F24" s="2">
        <v>2</v>
      </c>
      <c r="G24" s="2">
        <v>2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1</v>
      </c>
      <c r="AC24" s="2" t="str">
        <f t="shared" si="5"/>
        <v/>
      </c>
      <c r="AD24" s="2" t="str">
        <f t="shared" si="5"/>
        <v/>
      </c>
    </row>
    <row r="25" spans="1:30">
      <c r="A25" s="103" t="s">
        <v>230</v>
      </c>
      <c r="B25" s="2">
        <v>11</v>
      </c>
      <c r="C25" s="103" t="s">
        <v>232</v>
      </c>
      <c r="D25" t="str">
        <f t="shared" si="6"/>
        <v>Planned</v>
      </c>
      <c r="E25" s="2">
        <v>3</v>
      </c>
      <c r="F25" s="2">
        <f t="shared" si="4"/>
        <v>3</v>
      </c>
      <c r="G25" s="2">
        <v>3</v>
      </c>
      <c r="H25" s="2">
        <v>3</v>
      </c>
      <c r="I25" s="2">
        <v>3</v>
      </c>
      <c r="J25" s="2">
        <v>3</v>
      </c>
      <c r="K25" s="2">
        <v>3</v>
      </c>
      <c r="L25" s="2">
        <v>3</v>
      </c>
      <c r="M25" s="2">
        <v>3</v>
      </c>
      <c r="AC25" s="2" t="str">
        <f t="shared" si="5"/>
        <v/>
      </c>
      <c r="AD25" s="2" t="str">
        <f t="shared" si="5"/>
        <v/>
      </c>
    </row>
    <row r="26" spans="1:30">
      <c r="A26" s="103" t="s">
        <v>231</v>
      </c>
      <c r="B26" s="2">
        <v>12</v>
      </c>
      <c r="C26" s="103" t="s">
        <v>202</v>
      </c>
      <c r="D26" t="s">
        <v>76</v>
      </c>
      <c r="E26" s="2">
        <v>3</v>
      </c>
      <c r="F26" s="2">
        <f t="shared" si="4"/>
        <v>3</v>
      </c>
      <c r="G26" s="2">
        <v>2</v>
      </c>
      <c r="H26" s="2">
        <v>2</v>
      </c>
      <c r="I26" s="2">
        <v>2</v>
      </c>
      <c r="J26" s="2">
        <v>2</v>
      </c>
      <c r="K26" s="2">
        <v>2</v>
      </c>
      <c r="L26" s="2">
        <v>1</v>
      </c>
      <c r="M26" s="2">
        <v>1</v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123" priority="29" stopIfTrue="1">
      <formula>$D15="Done"</formula>
    </cfRule>
    <cfRule type="expression" dxfId="122" priority="30" stopIfTrue="1">
      <formula>$D15="Ongoing"</formula>
    </cfRule>
  </conditionalFormatting>
  <conditionalFormatting sqref="A15:I18">
    <cfRule type="expression" dxfId="121" priority="27" stopIfTrue="1">
      <formula>$D15="Done"</formula>
    </cfRule>
    <cfRule type="expression" dxfId="120" priority="28" stopIfTrue="1">
      <formula>$D15="Ongoing"</formula>
    </cfRule>
  </conditionalFormatting>
  <conditionalFormatting sqref="A15:A16">
    <cfRule type="expression" dxfId="119" priority="25" stopIfTrue="1">
      <formula>$D15="Done"</formula>
    </cfRule>
    <cfRule type="expression" dxfId="118" priority="26" stopIfTrue="1">
      <formula>$D15="Ongoing"</formula>
    </cfRule>
  </conditionalFormatting>
  <conditionalFormatting sqref="A15:A16">
    <cfRule type="expression" dxfId="117" priority="23" stopIfTrue="1">
      <formula>$D15="Done"</formula>
    </cfRule>
    <cfRule type="expression" dxfId="116" priority="24" stopIfTrue="1">
      <formula>$D15="Ongoing"</formula>
    </cfRule>
  </conditionalFormatting>
  <conditionalFormatting sqref="A15">
    <cfRule type="expression" dxfId="115" priority="21" stopIfTrue="1">
      <formula>$D15="Done"</formula>
    </cfRule>
    <cfRule type="expression" dxfId="114" priority="22" stopIfTrue="1">
      <formula>$D15="Ongoing"</formula>
    </cfRule>
  </conditionalFormatting>
  <conditionalFormatting sqref="A15">
    <cfRule type="expression" dxfId="113" priority="19" stopIfTrue="1">
      <formula>$D15="Done"</formula>
    </cfRule>
    <cfRule type="expression" dxfId="112" priority="20" stopIfTrue="1">
      <formula>$D15="Ongoing"</formula>
    </cfRule>
  </conditionalFormatting>
  <conditionalFormatting sqref="A15">
    <cfRule type="expression" dxfId="111" priority="17" stopIfTrue="1">
      <formula>$D15="Done"</formula>
    </cfRule>
    <cfRule type="expression" dxfId="110" priority="18" stopIfTrue="1">
      <formula>$D15="Ongoing"</formula>
    </cfRule>
  </conditionalFormatting>
  <conditionalFormatting sqref="A15">
    <cfRule type="expression" dxfId="109" priority="15" stopIfTrue="1">
      <formula>$D15="Done"</formula>
    </cfRule>
    <cfRule type="expression" dxfId="108" priority="16" stopIfTrue="1">
      <formula>$D15="Ongoing"</formula>
    </cfRule>
  </conditionalFormatting>
  <conditionalFormatting sqref="A17:A20">
    <cfRule type="expression" dxfId="107" priority="13" stopIfTrue="1">
      <formula>$D17="Done"</formula>
    </cfRule>
    <cfRule type="expression" dxfId="106" priority="14" stopIfTrue="1">
      <formula>$D17="Ongoing"</formula>
    </cfRule>
  </conditionalFormatting>
  <conditionalFormatting sqref="A17:A19">
    <cfRule type="expression" dxfId="105" priority="11" stopIfTrue="1">
      <formula>$D17="Done"</formula>
    </cfRule>
    <cfRule type="expression" dxfId="104" priority="12" stopIfTrue="1">
      <formula>$D17="Ongoing"</formula>
    </cfRule>
  </conditionalFormatting>
  <conditionalFormatting sqref="A17">
    <cfRule type="expression" dxfId="103" priority="9" stopIfTrue="1">
      <formula>$D17="Done"</formula>
    </cfRule>
    <cfRule type="expression" dxfId="102" priority="10" stopIfTrue="1">
      <formula>$D17="Ongoing"</formula>
    </cfRule>
  </conditionalFormatting>
  <conditionalFormatting sqref="B15:B16">
    <cfRule type="expression" dxfId="101" priority="7" stopIfTrue="1">
      <formula>$D15="Done"</formula>
    </cfRule>
    <cfRule type="expression" dxfId="100" priority="8" stopIfTrue="1">
      <formula>$D15="Ongoing"</formula>
    </cfRule>
  </conditionalFormatting>
  <conditionalFormatting sqref="B15:B16">
    <cfRule type="expression" dxfId="99" priority="5" stopIfTrue="1">
      <formula>$D15="Done"</formula>
    </cfRule>
    <cfRule type="expression" dxfId="98" priority="6" stopIfTrue="1">
      <formula>$D15="Ongoing"</formula>
    </cfRule>
  </conditionalFormatting>
  <conditionalFormatting sqref="B17:B20">
    <cfRule type="expression" dxfId="97" priority="3" stopIfTrue="1">
      <formula>$D17="Done"</formula>
    </cfRule>
    <cfRule type="expression" dxfId="96" priority="4" stopIfTrue="1">
      <formula>$D17="Ongoing"</formula>
    </cfRule>
  </conditionalFormatting>
  <conditionalFormatting sqref="B17:B19">
    <cfRule type="expression" dxfId="95" priority="1" stopIfTrue="1">
      <formula>$D17="Done"</formula>
    </cfRule>
    <cfRule type="expression" dxfId="94" priority="2" stopIfTrue="1">
      <formula>$D17="Ongoing"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A1:AD64"/>
  <sheetViews>
    <sheetView workbookViewId="0">
      <pane ySplit="14" topLeftCell="A15" activePane="bottomLeft" state="frozen"/>
      <selection pane="bottomLeft" activeCell="C15" sqref="C15:C2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12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27.1</v>
      </c>
      <c r="F10" s="17">
        <f ca="1">IF(AND(SUM(OFFSET(F14,1,0,TaskRows,1))=0),0,SUM(OFFSET(F14,1,0,TaskRows,1)))</f>
        <v>27.1</v>
      </c>
      <c r="G10" s="17">
        <f t="shared" ref="G10:AD10" ca="1" si="0">IF(AND(SUM(OFFSET(G14,1,0,TaskRows,1))=0),"",SUM(OFFSET(G14,1,0,TaskRows,1)))</f>
        <v>25.450000000000003</v>
      </c>
      <c r="H10" s="17">
        <f t="shared" ca="1" si="0"/>
        <v>24.7</v>
      </c>
      <c r="I10" s="17">
        <f t="shared" ca="1" si="0"/>
        <v>23</v>
      </c>
      <c r="J10" s="17">
        <f t="shared" ca="1" si="0"/>
        <v>20.5</v>
      </c>
      <c r="K10" s="17">
        <f t="shared" ca="1" si="0"/>
        <v>18</v>
      </c>
      <c r="L10" s="17">
        <f t="shared" ca="1" si="0"/>
        <v>13.799999999999997</v>
      </c>
      <c r="M10" s="17">
        <f t="shared" ca="1" si="0"/>
        <v>10.199999999999999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11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27.1</v>
      </c>
      <c r="G11" s="2">
        <f t="shared" ref="G11:AD11" ca="1" si="1">IF(G14="","",TotalEffort-TotalEffort/(ImplementationDays)*(G14-1))</f>
        <v>23.712500000000002</v>
      </c>
      <c r="H11" s="2">
        <f t="shared" ca="1" si="1"/>
        <v>20.325000000000003</v>
      </c>
      <c r="I11" s="2">
        <f t="shared" ca="1" si="1"/>
        <v>16.9375</v>
      </c>
      <c r="J11" s="2">
        <f t="shared" ca="1" si="1"/>
        <v>13.55</v>
      </c>
      <c r="K11" s="2">
        <f t="shared" ca="1" si="1"/>
        <v>10.162500000000001</v>
      </c>
      <c r="L11" s="2">
        <f t="shared" ca="1" si="1"/>
        <v>6.7749999999999986</v>
      </c>
      <c r="M11" s="2">
        <f t="shared" ca="1" si="1"/>
        <v>3.3874999999999993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33.25</v>
      </c>
      <c r="G12" s="2">
        <f t="shared" ca="1" si="2"/>
        <v>30.019999999999996</v>
      </c>
      <c r="H12" s="2">
        <f t="shared" ca="1" si="2"/>
        <v>26.79</v>
      </c>
      <c r="I12" s="2">
        <f t="shared" ca="1" si="2"/>
        <v>23.56</v>
      </c>
      <c r="J12" s="2">
        <f t="shared" ca="1" si="2"/>
        <v>20.329999999999998</v>
      </c>
      <c r="K12" s="2">
        <f t="shared" ca="1" si="2"/>
        <v>17.100000000000001</v>
      </c>
      <c r="L12" s="2">
        <f t="shared" ca="1" si="2"/>
        <v>13.870000000000001</v>
      </c>
      <c r="M12" s="2">
        <f t="shared" ca="1" si="2"/>
        <v>10.64</v>
      </c>
      <c r="N12" s="2">
        <f t="shared" ca="1" si="2"/>
        <v>7.41</v>
      </c>
      <c r="O12" s="2">
        <f t="shared" ca="1" si="2"/>
        <v>4.18</v>
      </c>
      <c r="P12" s="2">
        <f t="shared" ca="1" si="2"/>
        <v>0.95000000000000284</v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2">
        <v>0.1</v>
      </c>
      <c r="F15" s="2">
        <f t="shared" ref="F15:U59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  <c r="K15" s="2">
        <v>0.1</v>
      </c>
      <c r="L15" s="2">
        <v>0.1</v>
      </c>
      <c r="M15" s="2">
        <v>0.1</v>
      </c>
    </row>
    <row r="16" spans="1:30">
      <c r="A16" s="103" t="s">
        <v>219</v>
      </c>
      <c r="B16" s="2">
        <v>11</v>
      </c>
      <c r="C16" s="103" t="s">
        <v>202</v>
      </c>
      <c r="D16" t="s">
        <v>76</v>
      </c>
      <c r="E16" s="2">
        <v>10</v>
      </c>
      <c r="F16" s="2">
        <f t="shared" si="4"/>
        <v>10</v>
      </c>
      <c r="G16" s="2">
        <v>9.5</v>
      </c>
      <c r="H16" s="2">
        <v>9</v>
      </c>
      <c r="I16" s="2">
        <v>8.5</v>
      </c>
      <c r="J16" s="2">
        <v>8</v>
      </c>
      <c r="K16" s="2">
        <v>7.5</v>
      </c>
      <c r="L16" s="2">
        <v>7</v>
      </c>
      <c r="M16" s="2">
        <v>6</v>
      </c>
      <c r="AC16" s="2" t="str">
        <f t="shared" ref="AC16:AD35" si="5">IF(OR(AC$14="",$E16=""),"",AB16)</f>
        <v/>
      </c>
      <c r="AD16" s="2" t="str">
        <f t="shared" si="5"/>
        <v/>
      </c>
    </row>
    <row r="17" spans="1:30">
      <c r="A17" s="103" t="s">
        <v>205</v>
      </c>
      <c r="B17" s="2">
        <v>5</v>
      </c>
      <c r="C17" s="103" t="s">
        <v>98</v>
      </c>
      <c r="D17" t="s">
        <v>19</v>
      </c>
      <c r="E17" s="2">
        <v>1</v>
      </c>
      <c r="F17" s="2">
        <f t="shared" si="4"/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2">
        <v>1</v>
      </c>
      <c r="AC17" s="2" t="str">
        <f t="shared" si="5"/>
        <v/>
      </c>
      <c r="AD17" s="2" t="str">
        <f t="shared" si="5"/>
        <v/>
      </c>
    </row>
    <row r="18" spans="1:30">
      <c r="A18" s="103" t="s">
        <v>222</v>
      </c>
      <c r="B18" s="2">
        <v>13</v>
      </c>
      <c r="C18" s="103" t="s">
        <v>98</v>
      </c>
      <c r="D18" t="s">
        <v>76</v>
      </c>
      <c r="E18" s="2">
        <v>0.5</v>
      </c>
      <c r="F18" s="2">
        <f t="shared" si="4"/>
        <v>0.5</v>
      </c>
      <c r="G18" s="2">
        <v>0.05</v>
      </c>
      <c r="H18" s="2">
        <v>0.1</v>
      </c>
      <c r="I18" s="2">
        <v>0.1</v>
      </c>
      <c r="J18" s="2">
        <v>0.1</v>
      </c>
      <c r="K18" s="2">
        <v>0.1</v>
      </c>
      <c r="L18" s="2">
        <v>0.1</v>
      </c>
      <c r="M18" s="2">
        <v>0.1</v>
      </c>
      <c r="AC18" s="2" t="str">
        <f t="shared" si="5"/>
        <v/>
      </c>
      <c r="AD18" s="2" t="str">
        <f t="shared" si="5"/>
        <v/>
      </c>
    </row>
    <row r="19" spans="1:30">
      <c r="A19" s="103" t="s">
        <v>223</v>
      </c>
      <c r="B19" s="2">
        <v>13</v>
      </c>
      <c r="C19" s="103" t="s">
        <v>98</v>
      </c>
      <c r="D19" t="s">
        <v>76</v>
      </c>
      <c r="E19" s="2">
        <v>2</v>
      </c>
      <c r="F19" s="2">
        <f t="shared" si="4"/>
        <v>2</v>
      </c>
      <c r="G19" s="2">
        <v>1.5</v>
      </c>
      <c r="H19" s="2">
        <v>1.5</v>
      </c>
      <c r="I19" s="2">
        <v>1</v>
      </c>
      <c r="J19" s="2">
        <v>0.5</v>
      </c>
      <c r="K19" s="2">
        <v>0.5</v>
      </c>
      <c r="L19" s="2">
        <v>0.5</v>
      </c>
      <c r="M19" s="2">
        <v>0.2</v>
      </c>
      <c r="AC19" s="2" t="str">
        <f t="shared" si="5"/>
        <v/>
      </c>
      <c r="AD19" s="2" t="str">
        <f t="shared" si="5"/>
        <v/>
      </c>
    </row>
    <row r="20" spans="1:30">
      <c r="A20" s="103" t="s">
        <v>229</v>
      </c>
      <c r="B20" s="2">
        <v>11</v>
      </c>
      <c r="C20" s="103" t="s">
        <v>148</v>
      </c>
      <c r="D20" t="s">
        <v>75</v>
      </c>
      <c r="E20" s="2">
        <v>0.5</v>
      </c>
      <c r="F20" s="2">
        <f t="shared" si="4"/>
        <v>0.5</v>
      </c>
      <c r="G20" s="2">
        <v>0.5</v>
      </c>
      <c r="H20" s="2">
        <v>0.5</v>
      </c>
      <c r="I20" s="2">
        <v>0.5</v>
      </c>
      <c r="J20" s="2">
        <v>0.5</v>
      </c>
      <c r="K20" s="2">
        <v>0.5</v>
      </c>
      <c r="L20" s="2">
        <v>0</v>
      </c>
      <c r="AC20" s="2" t="str">
        <f t="shared" si="5"/>
        <v/>
      </c>
      <c r="AD20" s="2" t="str">
        <f t="shared" si="5"/>
        <v/>
      </c>
    </row>
    <row r="21" spans="1:30">
      <c r="A21" s="103" t="s">
        <v>231</v>
      </c>
      <c r="B21" s="2">
        <v>12</v>
      </c>
      <c r="C21" s="103" t="s">
        <v>202</v>
      </c>
      <c r="D21" t="s">
        <v>76</v>
      </c>
      <c r="E21" s="2">
        <v>1</v>
      </c>
      <c r="F21" s="2">
        <f t="shared" si="4"/>
        <v>1</v>
      </c>
      <c r="G21" s="2">
        <v>1</v>
      </c>
      <c r="H21" s="2">
        <v>1</v>
      </c>
      <c r="I21" s="2">
        <v>0.8</v>
      </c>
      <c r="J21" s="2">
        <v>0.8</v>
      </c>
      <c r="K21" s="2">
        <v>0.5</v>
      </c>
      <c r="L21" s="2">
        <v>0.2</v>
      </c>
      <c r="M21" s="2">
        <v>0.2</v>
      </c>
      <c r="AC21" s="2" t="str">
        <f t="shared" si="5"/>
        <v/>
      </c>
      <c r="AD21" s="2" t="str">
        <f t="shared" si="5"/>
        <v/>
      </c>
    </row>
    <row r="22" spans="1:30">
      <c r="A22" s="103" t="s">
        <v>234</v>
      </c>
      <c r="B22" s="2">
        <v>11</v>
      </c>
      <c r="C22" s="103" t="s">
        <v>98</v>
      </c>
      <c r="D22" t="s">
        <v>76</v>
      </c>
      <c r="E22" s="2">
        <v>1</v>
      </c>
      <c r="F22" s="2">
        <f t="shared" si="4"/>
        <v>1</v>
      </c>
      <c r="G22" s="2">
        <v>0.8</v>
      </c>
      <c r="H22" s="2">
        <v>0.5</v>
      </c>
      <c r="I22" s="2">
        <v>0.5</v>
      </c>
      <c r="J22" s="2">
        <v>0.5</v>
      </c>
      <c r="K22" s="2">
        <v>0.5</v>
      </c>
      <c r="L22" s="2">
        <v>0.2</v>
      </c>
      <c r="M22" s="2">
        <v>0.2</v>
      </c>
      <c r="AC22" s="2" t="str">
        <f t="shared" si="5"/>
        <v/>
      </c>
      <c r="AD22" s="2" t="str">
        <f t="shared" si="5"/>
        <v/>
      </c>
    </row>
    <row r="23" spans="1:30">
      <c r="A23" s="103" t="s">
        <v>233</v>
      </c>
      <c r="B23" s="2">
        <v>11</v>
      </c>
      <c r="C23" s="103" t="s">
        <v>98</v>
      </c>
      <c r="D23" t="s">
        <v>76</v>
      </c>
      <c r="E23" s="2">
        <v>1</v>
      </c>
      <c r="F23" s="2">
        <f t="shared" si="4"/>
        <v>1</v>
      </c>
      <c r="G23" s="2">
        <v>1</v>
      </c>
      <c r="H23" s="2">
        <v>1</v>
      </c>
      <c r="I23" s="2">
        <v>1</v>
      </c>
      <c r="J23" s="2">
        <v>1</v>
      </c>
      <c r="K23" s="2">
        <v>0.8</v>
      </c>
      <c r="L23" s="2">
        <v>0.5</v>
      </c>
      <c r="M23" s="2">
        <v>0.2</v>
      </c>
      <c r="AC23" s="2" t="str">
        <f t="shared" si="5"/>
        <v/>
      </c>
      <c r="AD23" s="2" t="str">
        <f t="shared" si="5"/>
        <v/>
      </c>
    </row>
    <row r="24" spans="1:30">
      <c r="A24" s="103" t="s">
        <v>235</v>
      </c>
      <c r="B24" s="2">
        <v>11</v>
      </c>
      <c r="C24" s="103" t="s">
        <v>98</v>
      </c>
      <c r="D24" t="str">
        <f t="shared" ref="D24:D59" si="6">IF(A24&lt;&gt;"","Planned","")</f>
        <v>Planned</v>
      </c>
      <c r="E24" s="2">
        <v>8</v>
      </c>
      <c r="F24" s="2">
        <f t="shared" si="4"/>
        <v>8</v>
      </c>
      <c r="G24" s="2">
        <v>8</v>
      </c>
      <c r="H24" s="2">
        <v>8</v>
      </c>
      <c r="I24" s="2">
        <v>8</v>
      </c>
      <c r="J24" s="2">
        <v>7</v>
      </c>
      <c r="K24" s="2">
        <v>6</v>
      </c>
      <c r="L24" s="2">
        <v>4</v>
      </c>
      <c r="M24" s="2">
        <v>2</v>
      </c>
      <c r="AC24" s="2" t="str">
        <f t="shared" si="5"/>
        <v/>
      </c>
      <c r="AD24" s="2" t="str">
        <f t="shared" si="5"/>
        <v/>
      </c>
    </row>
    <row r="25" spans="1:30">
      <c r="A25" s="103" t="s">
        <v>236</v>
      </c>
      <c r="B25" s="2">
        <v>11</v>
      </c>
      <c r="C25" s="103" t="s">
        <v>98</v>
      </c>
      <c r="D25" t="s">
        <v>76</v>
      </c>
      <c r="E25" s="2">
        <v>2</v>
      </c>
      <c r="F25" s="2">
        <f t="shared" si="4"/>
        <v>2</v>
      </c>
      <c r="G25" s="2">
        <v>2</v>
      </c>
      <c r="H25" s="2">
        <v>2</v>
      </c>
      <c r="I25" s="2">
        <v>1.5</v>
      </c>
      <c r="J25" s="2">
        <v>1</v>
      </c>
      <c r="K25" s="2">
        <v>0.5</v>
      </c>
      <c r="L25" s="2">
        <v>0.2</v>
      </c>
      <c r="M25" s="2">
        <v>0.2</v>
      </c>
      <c r="AC25" s="2" t="str">
        <f t="shared" si="5"/>
        <v/>
      </c>
      <c r="AD25" s="2" t="str">
        <f t="shared" si="5"/>
        <v/>
      </c>
    </row>
    <row r="26" spans="1:30">
      <c r="D26" t="str">
        <f t="shared" si="6"/>
        <v/>
      </c>
      <c r="F26" s="2" t="str">
        <f t="shared" si="4"/>
        <v/>
      </c>
      <c r="AC26" s="2" t="str">
        <f t="shared" si="5"/>
        <v/>
      </c>
      <c r="AD26" s="2" t="str">
        <f t="shared" si="5"/>
        <v/>
      </c>
    </row>
    <row r="27" spans="1:30">
      <c r="D27" t="str">
        <f t="shared" si="6"/>
        <v/>
      </c>
      <c r="F27" s="2" t="str">
        <f t="shared" si="4"/>
        <v/>
      </c>
      <c r="AC27" s="2" t="str">
        <f t="shared" si="5"/>
        <v/>
      </c>
      <c r="AD27" s="2" t="str">
        <f t="shared" si="5"/>
        <v/>
      </c>
    </row>
    <row r="28" spans="1:30">
      <c r="D28" t="str">
        <f t="shared" si="6"/>
        <v/>
      </c>
      <c r="F28" s="2" t="str">
        <f t="shared" si="4"/>
        <v/>
      </c>
      <c r="AC28" s="2" t="str">
        <f t="shared" si="5"/>
        <v/>
      </c>
      <c r="AD28" s="2" t="str">
        <f t="shared" si="5"/>
        <v/>
      </c>
    </row>
    <row r="29" spans="1:30">
      <c r="D29" t="str">
        <f t="shared" si="6"/>
        <v/>
      </c>
      <c r="F29" s="2" t="str">
        <f t="shared" si="4"/>
        <v/>
      </c>
      <c r="AC29" s="2" t="str">
        <f t="shared" si="5"/>
        <v/>
      </c>
      <c r="AD29" s="2" t="str">
        <f t="shared" si="5"/>
        <v/>
      </c>
    </row>
    <row r="30" spans="1:30">
      <c r="D30" t="str">
        <f t="shared" si="6"/>
        <v/>
      </c>
      <c r="F30" s="2" t="str">
        <f t="shared" si="4"/>
        <v/>
      </c>
      <c r="AC30" s="2" t="str">
        <f t="shared" si="5"/>
        <v/>
      </c>
      <c r="AD30" s="2" t="str">
        <f t="shared" si="5"/>
        <v/>
      </c>
    </row>
    <row r="31" spans="1:30">
      <c r="D31" t="str">
        <f t="shared" si="6"/>
        <v/>
      </c>
      <c r="F31" s="2" t="str">
        <f t="shared" si="4"/>
        <v/>
      </c>
      <c r="AC31" s="2" t="str">
        <f t="shared" si="5"/>
        <v/>
      </c>
      <c r="AD31" s="2" t="str">
        <f t="shared" si="5"/>
        <v/>
      </c>
    </row>
    <row r="32" spans="1:30">
      <c r="D32" t="str">
        <f t="shared" si="6"/>
        <v/>
      </c>
      <c r="F32" s="2" t="str">
        <f t="shared" si="4"/>
        <v/>
      </c>
      <c r="AC32" s="2" t="str">
        <f t="shared" si="5"/>
        <v/>
      </c>
      <c r="AD32" s="2" t="str">
        <f t="shared" si="5"/>
        <v/>
      </c>
    </row>
    <row r="33" spans="4:30">
      <c r="D33" t="str">
        <f t="shared" si="6"/>
        <v/>
      </c>
      <c r="F33" s="2" t="str">
        <f t="shared" si="4"/>
        <v/>
      </c>
      <c r="AC33" s="2" t="str">
        <f t="shared" si="5"/>
        <v/>
      </c>
      <c r="AD33" s="2" t="str">
        <f t="shared" si="5"/>
        <v/>
      </c>
    </row>
    <row r="34" spans="4:30">
      <c r="D34" t="str">
        <f t="shared" si="6"/>
        <v/>
      </c>
      <c r="F34" s="2" t="str">
        <f t="shared" si="4"/>
        <v/>
      </c>
      <c r="AC34" s="2" t="str">
        <f t="shared" si="5"/>
        <v/>
      </c>
      <c r="AD34" s="2" t="str">
        <f t="shared" si="5"/>
        <v/>
      </c>
    </row>
    <row r="35" spans="4:30">
      <c r="D35" t="str">
        <f t="shared" si="6"/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4:30">
      <c r="D36" t="str">
        <f t="shared" si="6"/>
        <v/>
      </c>
      <c r="F36" s="2" t="str">
        <f t="shared" si="4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6"/>
        <v/>
      </c>
      <c r="F37" s="2" t="str">
        <f t="shared" si="4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6"/>
        <v/>
      </c>
      <c r="F38" s="2" t="str">
        <f t="shared" si="4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6"/>
        <v/>
      </c>
      <c r="F39" s="2" t="str">
        <f t="shared" si="4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6"/>
        <v/>
      </c>
      <c r="F40" s="2" t="str">
        <f t="shared" si="4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6"/>
        <v/>
      </c>
      <c r="F41" s="2" t="str">
        <f t="shared" si="4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6"/>
        <v/>
      </c>
      <c r="F42" s="2" t="str">
        <f t="shared" si="4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6"/>
        <v/>
      </c>
      <c r="F43" s="2" t="str">
        <f t="shared" si="4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6"/>
        <v/>
      </c>
      <c r="F44" s="2" t="str">
        <f t="shared" si="4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6"/>
        <v/>
      </c>
      <c r="F45" s="2" t="str">
        <f t="shared" si="4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6"/>
        <v/>
      </c>
      <c r="F46" s="2" t="str">
        <f t="shared" si="4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6"/>
        <v/>
      </c>
      <c r="F47" s="2" t="str">
        <f t="shared" si="4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6"/>
        <v/>
      </c>
      <c r="F48" s="2" t="str">
        <f t="shared" si="4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6"/>
        <v/>
      </c>
      <c r="F49" s="2" t="str">
        <f t="shared" si="4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6"/>
        <v/>
      </c>
      <c r="F50" s="2" t="str">
        <f t="shared" si="4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6"/>
        <v/>
      </c>
      <c r="F51" s="2" t="str">
        <f t="shared" si="4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6"/>
        <v/>
      </c>
      <c r="F52" s="2" t="str">
        <f t="shared" si="4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6"/>
        <v/>
      </c>
      <c r="F53" s="2" t="str">
        <f t="shared" si="4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6"/>
        <v/>
      </c>
      <c r="F54" s="2" t="str">
        <f t="shared" si="4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6"/>
        <v/>
      </c>
      <c r="F55" s="2" t="str">
        <f t="shared" si="4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6"/>
        <v/>
      </c>
      <c r="F56" s="2" t="str">
        <f t="shared" si="4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6"/>
        <v/>
      </c>
      <c r="F57" s="2" t="str">
        <f t="shared" si="4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ref="V58:AB59" si="9">IF(OR(V$14="",$E58=""),"",U58)</f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6"/>
        <v/>
      </c>
      <c r="F59" s="2" t="str">
        <f t="shared" si="4"/>
        <v/>
      </c>
      <c r="G59" s="2" t="str">
        <f t="shared" si="4"/>
        <v/>
      </c>
      <c r="H59" s="2" t="str">
        <f t="shared" si="4"/>
        <v/>
      </c>
      <c r="I59" s="2" t="str">
        <f t="shared" si="4"/>
        <v/>
      </c>
      <c r="J59" s="2" t="str">
        <f t="shared" si="4"/>
        <v/>
      </c>
      <c r="K59" s="2" t="str">
        <f t="shared" si="4"/>
        <v/>
      </c>
      <c r="L59" s="2" t="str">
        <f t="shared" si="4"/>
        <v/>
      </c>
      <c r="M59" s="2" t="str">
        <f t="shared" si="4"/>
        <v/>
      </c>
      <c r="N59" s="2" t="str">
        <f t="shared" si="4"/>
        <v/>
      </c>
      <c r="O59" s="2" t="str">
        <f t="shared" si="4"/>
        <v/>
      </c>
      <c r="P59" s="2" t="str">
        <f t="shared" si="4"/>
        <v/>
      </c>
      <c r="Q59" s="2" t="str">
        <f t="shared" si="4"/>
        <v/>
      </c>
      <c r="R59" s="2" t="str">
        <f t="shared" si="4"/>
        <v/>
      </c>
      <c r="S59" s="2" t="str">
        <f t="shared" si="4"/>
        <v/>
      </c>
      <c r="T59" s="2" t="str">
        <f t="shared" si="4"/>
        <v/>
      </c>
      <c r="U59" s="2" t="str">
        <f t="shared" si="4"/>
        <v/>
      </c>
      <c r="V59" s="2" t="str">
        <f t="shared" si="9"/>
        <v/>
      </c>
      <c r="W59" s="2" t="str">
        <f t="shared" si="9"/>
        <v/>
      </c>
      <c r="X59" s="2" t="str">
        <f t="shared" si="9"/>
        <v/>
      </c>
      <c r="Y59" s="2" t="str">
        <f t="shared" si="9"/>
        <v/>
      </c>
      <c r="Z59" s="2" t="str">
        <f t="shared" si="9"/>
        <v/>
      </c>
      <c r="AA59" s="2" t="str">
        <f t="shared" si="9"/>
        <v/>
      </c>
      <c r="AB59" s="2" t="str">
        <f t="shared" si="9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93" priority="25" stopIfTrue="1">
      <formula>$D15="Done"</formula>
    </cfRule>
    <cfRule type="expression" dxfId="92" priority="26" stopIfTrue="1">
      <formula>$D15="Ongoing"</formula>
    </cfRule>
  </conditionalFormatting>
  <conditionalFormatting sqref="A15:I18">
    <cfRule type="expression" dxfId="91" priority="23" stopIfTrue="1">
      <formula>$D15="Done"</formula>
    </cfRule>
    <cfRule type="expression" dxfId="90" priority="24" stopIfTrue="1">
      <formula>$D15="Ongoing"</formula>
    </cfRule>
  </conditionalFormatting>
  <conditionalFormatting sqref="A15:A17">
    <cfRule type="expression" dxfId="89" priority="21" stopIfTrue="1">
      <formula>$D15="Done"</formula>
    </cfRule>
    <cfRule type="expression" dxfId="88" priority="22" stopIfTrue="1">
      <formula>$D15="Ongoing"</formula>
    </cfRule>
  </conditionalFormatting>
  <conditionalFormatting sqref="A15:A16">
    <cfRule type="expression" dxfId="87" priority="19" stopIfTrue="1">
      <formula>$D15="Done"</formula>
    </cfRule>
    <cfRule type="expression" dxfId="86" priority="20" stopIfTrue="1">
      <formula>$D15="Ongoing"</formula>
    </cfRule>
  </conditionalFormatting>
  <conditionalFormatting sqref="A15:A16">
    <cfRule type="expression" dxfId="85" priority="17" stopIfTrue="1">
      <formula>$D15="Done"</formula>
    </cfRule>
    <cfRule type="expression" dxfId="84" priority="18" stopIfTrue="1">
      <formula>$D15="Ongoing"</formula>
    </cfRule>
  </conditionalFormatting>
  <conditionalFormatting sqref="A15">
    <cfRule type="expression" dxfId="83" priority="15" stopIfTrue="1">
      <formula>$D15="Done"</formula>
    </cfRule>
    <cfRule type="expression" dxfId="82" priority="16" stopIfTrue="1">
      <formula>$D15="Ongoing"</formula>
    </cfRule>
  </conditionalFormatting>
  <conditionalFormatting sqref="A15">
    <cfRule type="expression" dxfId="81" priority="13" stopIfTrue="1">
      <formula>$D15="Done"</formula>
    </cfRule>
    <cfRule type="expression" dxfId="80" priority="14" stopIfTrue="1">
      <formula>$D15="Ongoing"</formula>
    </cfRule>
  </conditionalFormatting>
  <conditionalFormatting sqref="A15">
    <cfRule type="expression" dxfId="79" priority="11" stopIfTrue="1">
      <formula>$D15="Done"</formula>
    </cfRule>
    <cfRule type="expression" dxfId="78" priority="12" stopIfTrue="1">
      <formula>$D15="Ongoing"</formula>
    </cfRule>
  </conditionalFormatting>
  <conditionalFormatting sqref="A15">
    <cfRule type="expression" dxfId="77" priority="9" stopIfTrue="1">
      <formula>$D15="Done"</formula>
    </cfRule>
    <cfRule type="expression" dxfId="76" priority="10" stopIfTrue="1">
      <formula>$D15="Ongoing"</formula>
    </cfRule>
  </conditionalFormatting>
  <conditionalFormatting sqref="A17:A19">
    <cfRule type="expression" dxfId="75" priority="7" stopIfTrue="1">
      <formula>$D17="Done"</formula>
    </cfRule>
    <cfRule type="expression" dxfId="74" priority="8" stopIfTrue="1">
      <formula>$D17="Ongoing"</formula>
    </cfRule>
  </conditionalFormatting>
  <conditionalFormatting sqref="A17:A18">
    <cfRule type="expression" dxfId="73" priority="5" stopIfTrue="1">
      <formula>$D17="Done"</formula>
    </cfRule>
    <cfRule type="expression" dxfId="72" priority="6" stopIfTrue="1">
      <formula>$D17="Ongoing"</formula>
    </cfRule>
  </conditionalFormatting>
  <conditionalFormatting sqref="A17">
    <cfRule type="expression" dxfId="71" priority="3" stopIfTrue="1">
      <formula>$D17="Done"</formula>
    </cfRule>
    <cfRule type="expression" dxfId="70" priority="4" stopIfTrue="1">
      <formula>$D17="Ongoing"</formula>
    </cfRule>
  </conditionalFormatting>
  <conditionalFormatting sqref="A18:A21">
    <cfRule type="expression" dxfId="69" priority="1" stopIfTrue="1">
      <formula>$D18="Done"</formula>
    </cfRule>
    <cfRule type="expression" dxfId="68" priority="2" stopIfTrue="1">
      <formula>$D18="Ongoing"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AD54"/>
  <sheetViews>
    <sheetView workbookViewId="0">
      <pane ySplit="14" topLeftCell="A26" activePane="bottomLeft" state="frozen"/>
      <selection pane="bottomLeft" activeCell="A42" sqref="A42:D48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13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36.900000000000013</v>
      </c>
      <c r="F10" s="17">
        <f ca="1">IF(AND(SUM(OFFSET(F14,1,0,TaskRows,1))=0),0,SUM(OFFSET(F14,1,0,TaskRows,1)))</f>
        <v>36.900000000000013</v>
      </c>
      <c r="G10" s="17">
        <f t="shared" ref="G10:AD10" ca="1" si="0">IF(AND(SUM(OFFSET(G14,1,0,TaskRows,1))=0),"",SUM(OFFSET(G14,1,0,TaskRows,1)))</f>
        <v>33.900000000000013</v>
      </c>
      <c r="H10" s="17">
        <f t="shared" ca="1" si="0"/>
        <v>33.500000000000014</v>
      </c>
      <c r="I10" s="17">
        <f t="shared" ca="1" si="0"/>
        <v>32.500000000000007</v>
      </c>
      <c r="J10" s="17">
        <f t="shared" ca="1" si="0"/>
        <v>27.8</v>
      </c>
      <c r="K10" s="17">
        <f t="shared" ca="1" si="0"/>
        <v>26.299999999999997</v>
      </c>
      <c r="L10" s="17">
        <f t="shared" ca="1" si="0"/>
        <v>23.8</v>
      </c>
      <c r="M10" s="17">
        <f t="shared" ca="1" si="0"/>
        <v>22.799999999999997</v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IF(COUNTA(A15:A232)=0,1,COUNTA(A15:A232))</f>
        <v>34</v>
      </c>
      <c r="C11" t="s">
        <v>23</v>
      </c>
      <c r="D11" s="2">
        <f ca="1">IF(COUNTIF(F10:AD10,"&gt;0")=0,1,COUNTIF(F10:AD10,"&gt;0"))</f>
        <v>8</v>
      </c>
      <c r="F11" s="2">
        <f ca="1">IF(F14="","",$E10-$E10/($B9-1)*(F14-1))</f>
        <v>36.900000000000013</v>
      </c>
      <c r="G11" s="2">
        <f t="shared" ref="G11:AD11" ca="1" si="1">IF(G14="","",TotalEffort-TotalEffort/(ImplementationDays)*(G14-1))</f>
        <v>32.287500000000009</v>
      </c>
      <c r="H11" s="2">
        <f t="shared" ca="1" si="1"/>
        <v>27.675000000000011</v>
      </c>
      <c r="I11" s="2">
        <f t="shared" ca="1" si="1"/>
        <v>23.062500000000007</v>
      </c>
      <c r="J11" s="2">
        <f t="shared" ca="1" si="1"/>
        <v>18.450000000000006</v>
      </c>
      <c r="K11" s="2">
        <f t="shared" ca="1" si="1"/>
        <v>13.837500000000006</v>
      </c>
      <c r="L11" s="2">
        <f t="shared" ca="1" si="1"/>
        <v>9.2250000000000014</v>
      </c>
      <c r="M11" s="2">
        <f t="shared" ca="1" si="1"/>
        <v>4.6125000000000043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38.340000000000003</v>
      </c>
      <c r="G12" s="2">
        <f t="shared" ca="1" si="2"/>
        <v>36.000000000000007</v>
      </c>
      <c r="H12" s="2">
        <f t="shared" ca="1" si="2"/>
        <v>33.660000000000004</v>
      </c>
      <c r="I12" s="2">
        <f t="shared" ca="1" si="2"/>
        <v>31.32</v>
      </c>
      <c r="J12" s="2">
        <f t="shared" ca="1" si="2"/>
        <v>28.98</v>
      </c>
      <c r="K12" s="2">
        <f t="shared" ca="1" si="2"/>
        <v>26.64</v>
      </c>
      <c r="L12" s="2">
        <f t="shared" ca="1" si="2"/>
        <v>24.299999999999997</v>
      </c>
      <c r="M12" s="2">
        <f t="shared" ca="1" si="2"/>
        <v>21.959999999999997</v>
      </c>
      <c r="N12" s="2">
        <f t="shared" ca="1" si="2"/>
        <v>19.619999999999997</v>
      </c>
      <c r="O12" s="2">
        <f t="shared" ca="1" si="2"/>
        <v>17.279999999999994</v>
      </c>
      <c r="P12" s="2">
        <f t="shared" ca="1" si="2"/>
        <v>14.939999999999994</v>
      </c>
      <c r="Q12" s="2">
        <f t="shared" ca="1" si="2"/>
        <v>12.599999999999994</v>
      </c>
      <c r="R12" s="2">
        <f t="shared" ca="1" si="2"/>
        <v>10.259999999999991</v>
      </c>
      <c r="S12" s="2">
        <f t="shared" ca="1" si="2"/>
        <v>7.9199999999999875</v>
      </c>
      <c r="T12" s="2">
        <f t="shared" ca="1" si="2"/>
        <v>5.5799999999999912</v>
      </c>
      <c r="U12" s="2">
        <f t="shared" ca="1" si="2"/>
        <v>3.2399999999999878</v>
      </c>
      <c r="V12" s="2">
        <f t="shared" ca="1" si="2"/>
        <v>0.89999999999998437</v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104">
        <v>0.1</v>
      </c>
      <c r="F15" s="2">
        <f t="shared" ref="F15:U49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  <c r="K15" s="2">
        <v>0.1</v>
      </c>
      <c r="L15" s="2">
        <v>0.1</v>
      </c>
      <c r="M15" s="2">
        <v>0.1</v>
      </c>
    </row>
    <row r="16" spans="1:30">
      <c r="A16" s="103" t="s">
        <v>265</v>
      </c>
      <c r="B16" s="2">
        <v>11</v>
      </c>
      <c r="C16" s="103" t="s">
        <v>202</v>
      </c>
      <c r="D16" t="s">
        <v>76</v>
      </c>
      <c r="E16" s="2">
        <v>6</v>
      </c>
      <c r="F16" s="2">
        <f t="shared" si="4"/>
        <v>6</v>
      </c>
      <c r="G16" s="2">
        <v>6</v>
      </c>
      <c r="H16" s="2">
        <v>6</v>
      </c>
      <c r="I16" s="2">
        <v>6</v>
      </c>
      <c r="J16" s="2">
        <v>5</v>
      </c>
      <c r="K16" s="2">
        <v>5</v>
      </c>
      <c r="L16" s="2">
        <v>4</v>
      </c>
      <c r="M16" s="2">
        <v>4</v>
      </c>
      <c r="AC16" s="2" t="str">
        <f t="shared" ref="AC16:AD30" si="5">IF(OR(AC$14="",$E16=""),"",AB16)</f>
        <v/>
      </c>
      <c r="AD16" s="2" t="str">
        <f t="shared" si="5"/>
        <v/>
      </c>
    </row>
    <row r="17" spans="1:30">
      <c r="A17" s="103" t="s">
        <v>205</v>
      </c>
      <c r="B17" s="2">
        <v>5</v>
      </c>
      <c r="C17" s="103" t="s">
        <v>98</v>
      </c>
      <c r="D17" t="s">
        <v>76</v>
      </c>
      <c r="E17" s="2">
        <v>1</v>
      </c>
      <c r="F17" s="2">
        <f t="shared" si="4"/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M17" s="2">
        <v>1</v>
      </c>
      <c r="AC17" s="2" t="str">
        <f t="shared" si="5"/>
        <v/>
      </c>
      <c r="AD17" s="2" t="str">
        <f t="shared" si="5"/>
        <v/>
      </c>
    </row>
    <row r="18" spans="1:30">
      <c r="A18" s="103" t="s">
        <v>223</v>
      </c>
      <c r="B18" s="2">
        <v>13</v>
      </c>
      <c r="C18" s="103" t="s">
        <v>98</v>
      </c>
      <c r="D18" t="s">
        <v>75</v>
      </c>
      <c r="E18" s="2">
        <v>0.2</v>
      </c>
      <c r="F18" s="2">
        <f t="shared" si="4"/>
        <v>0.2</v>
      </c>
      <c r="G18" s="2">
        <v>0</v>
      </c>
      <c r="AC18" s="2" t="str">
        <f t="shared" si="5"/>
        <v/>
      </c>
      <c r="AD18" s="2" t="str">
        <f t="shared" si="5"/>
        <v/>
      </c>
    </row>
    <row r="19" spans="1:30">
      <c r="A19" s="103" t="s">
        <v>231</v>
      </c>
      <c r="B19" s="2">
        <v>12</v>
      </c>
      <c r="C19" s="103" t="s">
        <v>202</v>
      </c>
      <c r="D19" t="s">
        <v>75</v>
      </c>
      <c r="E19" s="2">
        <v>0.2</v>
      </c>
      <c r="F19" s="2">
        <f t="shared" si="4"/>
        <v>0.2</v>
      </c>
      <c r="G19" s="2">
        <v>0</v>
      </c>
      <c r="AC19" s="2" t="str">
        <f t="shared" si="5"/>
        <v/>
      </c>
      <c r="AD19" s="2" t="str">
        <f t="shared" si="5"/>
        <v/>
      </c>
    </row>
    <row r="20" spans="1:30">
      <c r="A20" s="103" t="s">
        <v>234</v>
      </c>
      <c r="B20" s="2">
        <v>11</v>
      </c>
      <c r="C20" s="103" t="s">
        <v>98</v>
      </c>
      <c r="D20" t="s">
        <v>75</v>
      </c>
      <c r="E20" s="2">
        <v>0.2</v>
      </c>
      <c r="F20" s="2">
        <f t="shared" si="4"/>
        <v>0.2</v>
      </c>
      <c r="G20" s="2">
        <v>0</v>
      </c>
      <c r="AC20" s="2" t="str">
        <f t="shared" si="5"/>
        <v/>
      </c>
      <c r="AD20" s="2" t="str">
        <f t="shared" si="5"/>
        <v/>
      </c>
    </row>
    <row r="21" spans="1:30">
      <c r="A21" s="103" t="s">
        <v>233</v>
      </c>
      <c r="B21" s="2">
        <v>11</v>
      </c>
      <c r="C21" s="103" t="s">
        <v>98</v>
      </c>
      <c r="D21" t="s">
        <v>75</v>
      </c>
      <c r="E21" s="2">
        <v>0.2</v>
      </c>
      <c r="F21" s="2">
        <f t="shared" si="4"/>
        <v>0.2</v>
      </c>
      <c r="G21" s="2">
        <v>0.2</v>
      </c>
      <c r="H21" s="2">
        <v>0.2</v>
      </c>
      <c r="I21" s="2">
        <v>0.2</v>
      </c>
      <c r="J21" s="2">
        <v>0</v>
      </c>
      <c r="AC21" s="2" t="str">
        <f t="shared" si="5"/>
        <v/>
      </c>
      <c r="AD21" s="2" t="str">
        <f t="shared" si="5"/>
        <v/>
      </c>
    </row>
    <row r="22" spans="1:30">
      <c r="A22" s="103" t="s">
        <v>235</v>
      </c>
      <c r="B22" s="2">
        <v>11</v>
      </c>
      <c r="C22" s="103" t="s">
        <v>98</v>
      </c>
      <c r="D22" t="s">
        <v>75</v>
      </c>
      <c r="E22" s="2">
        <v>2</v>
      </c>
      <c r="F22" s="2">
        <f t="shared" si="4"/>
        <v>2</v>
      </c>
      <c r="G22" s="2">
        <v>1.5</v>
      </c>
      <c r="H22" s="2">
        <v>1.5</v>
      </c>
      <c r="I22" s="2">
        <v>1.5</v>
      </c>
      <c r="J22" s="2">
        <v>1</v>
      </c>
      <c r="K22" s="2">
        <v>0.5</v>
      </c>
      <c r="L22" s="2">
        <v>0</v>
      </c>
      <c r="AC22" s="2" t="str">
        <f t="shared" si="5"/>
        <v/>
      </c>
      <c r="AD22" s="2" t="str">
        <f t="shared" si="5"/>
        <v/>
      </c>
    </row>
    <row r="23" spans="1:30">
      <c r="A23" s="114" t="s">
        <v>240</v>
      </c>
      <c r="B23" s="2">
        <v>11</v>
      </c>
      <c r="C23" s="103" t="s">
        <v>148</v>
      </c>
      <c r="D23" t="s">
        <v>76</v>
      </c>
      <c r="E23" s="2">
        <v>5</v>
      </c>
      <c r="F23" s="2">
        <f t="shared" si="4"/>
        <v>5</v>
      </c>
      <c r="G23" s="2">
        <v>4</v>
      </c>
      <c r="H23" s="2">
        <v>4</v>
      </c>
      <c r="I23" s="2">
        <v>3</v>
      </c>
      <c r="J23" s="2">
        <v>2</v>
      </c>
      <c r="K23" s="2">
        <v>2</v>
      </c>
      <c r="L23" s="2">
        <v>2</v>
      </c>
      <c r="M23" s="2">
        <v>2</v>
      </c>
      <c r="AC23" s="2" t="str">
        <f t="shared" si="5"/>
        <v/>
      </c>
      <c r="AD23" s="2" t="str">
        <f t="shared" si="5"/>
        <v/>
      </c>
    </row>
    <row r="24" spans="1:30">
      <c r="A24" s="115" t="s">
        <v>241</v>
      </c>
      <c r="B24" s="2">
        <v>11</v>
      </c>
      <c r="C24" s="103" t="s">
        <v>148</v>
      </c>
      <c r="D24" t="str">
        <f t="shared" ref="D24:D49" si="6">IF(A24&lt;&gt;"","Planned","")</f>
        <v>Planned</v>
      </c>
      <c r="E24" s="2">
        <v>0.2</v>
      </c>
      <c r="F24" s="2">
        <f t="shared" si="4"/>
        <v>0.2</v>
      </c>
      <c r="G24" s="2">
        <f t="shared" ref="G24:G26" si="7">IF(OR(G$14="",$E24=""),"",F24)</f>
        <v>0.2</v>
      </c>
      <c r="H24" s="2">
        <f t="shared" ref="H24:H26" si="8">IF(OR(H$14="",$E24=""),"",G24)</f>
        <v>0.2</v>
      </c>
      <c r="I24" s="2">
        <f t="shared" ref="I24:I26" si="9">IF(OR(I$14="",$E24=""),"",H24)</f>
        <v>0.2</v>
      </c>
      <c r="J24" s="2">
        <f t="shared" ref="J24:J26" si="10">IF(OR(J$14="",$E24=""),"",I24)</f>
        <v>0.2</v>
      </c>
      <c r="K24" s="2">
        <f t="shared" ref="K24:K26" si="11">IF(OR(K$14="",$E24=""),"",J24)</f>
        <v>0.2</v>
      </c>
      <c r="L24" s="2">
        <f t="shared" ref="L24:L26" si="12">IF(OR(L$14="",$E24=""),"",K24)</f>
        <v>0.2</v>
      </c>
      <c r="M24" s="2">
        <f t="shared" ref="M24:M26" si="13">IF(OR(M$14="",$E24=""),"",L24)</f>
        <v>0.2</v>
      </c>
      <c r="AC24" s="2" t="str">
        <f t="shared" si="5"/>
        <v/>
      </c>
      <c r="AD24" s="2" t="str">
        <f t="shared" si="5"/>
        <v/>
      </c>
    </row>
    <row r="25" spans="1:30">
      <c r="A25" s="115" t="s">
        <v>242</v>
      </c>
      <c r="B25" s="2">
        <v>11</v>
      </c>
      <c r="C25" s="103" t="s">
        <v>148</v>
      </c>
      <c r="D25" t="str">
        <f t="shared" si="6"/>
        <v>Planned</v>
      </c>
      <c r="E25" s="2">
        <v>0.2</v>
      </c>
      <c r="F25" s="2">
        <f t="shared" si="4"/>
        <v>0.2</v>
      </c>
      <c r="G25" s="2">
        <f t="shared" si="7"/>
        <v>0.2</v>
      </c>
      <c r="H25" s="2">
        <f t="shared" si="8"/>
        <v>0.2</v>
      </c>
      <c r="I25" s="2">
        <f t="shared" si="9"/>
        <v>0.2</v>
      </c>
      <c r="J25" s="2">
        <f t="shared" si="10"/>
        <v>0.2</v>
      </c>
      <c r="K25" s="2">
        <f t="shared" si="11"/>
        <v>0.2</v>
      </c>
      <c r="L25" s="2">
        <f t="shared" si="12"/>
        <v>0.2</v>
      </c>
      <c r="M25" s="2">
        <f t="shared" si="13"/>
        <v>0.2</v>
      </c>
      <c r="AC25" s="2" t="str">
        <f t="shared" si="5"/>
        <v/>
      </c>
      <c r="AD25" s="2" t="str">
        <f t="shared" si="5"/>
        <v/>
      </c>
    </row>
    <row r="26" spans="1:30">
      <c r="A26" s="115" t="s">
        <v>243</v>
      </c>
      <c r="B26" s="2">
        <v>11</v>
      </c>
      <c r="C26" s="103" t="s">
        <v>148</v>
      </c>
      <c r="D26" t="str">
        <f t="shared" si="6"/>
        <v>Planned</v>
      </c>
      <c r="E26" s="2">
        <v>0.2</v>
      </c>
      <c r="F26" s="2">
        <f t="shared" si="4"/>
        <v>0.2</v>
      </c>
      <c r="G26" s="2">
        <f t="shared" si="7"/>
        <v>0.2</v>
      </c>
      <c r="H26" s="2">
        <f t="shared" si="8"/>
        <v>0.2</v>
      </c>
      <c r="I26" s="2">
        <f t="shared" si="9"/>
        <v>0.2</v>
      </c>
      <c r="J26" s="2">
        <f t="shared" si="10"/>
        <v>0.2</v>
      </c>
      <c r="K26" s="2">
        <f t="shared" si="11"/>
        <v>0.2</v>
      </c>
      <c r="L26" s="2">
        <f t="shared" si="12"/>
        <v>0.2</v>
      </c>
      <c r="M26" s="2">
        <f t="shared" si="13"/>
        <v>0.2</v>
      </c>
      <c r="AC26" s="2" t="str">
        <f t="shared" si="5"/>
        <v/>
      </c>
      <c r="AD26" s="2" t="str">
        <f t="shared" si="5"/>
        <v/>
      </c>
    </row>
    <row r="27" spans="1:30">
      <c r="A27" s="115" t="s">
        <v>244</v>
      </c>
      <c r="B27" s="2">
        <v>11</v>
      </c>
      <c r="C27" s="103" t="s">
        <v>271</v>
      </c>
      <c r="D27" t="str">
        <f t="shared" si="6"/>
        <v>Planned</v>
      </c>
      <c r="E27" s="2">
        <v>1.3</v>
      </c>
      <c r="F27" s="2">
        <f t="shared" si="4"/>
        <v>1.3</v>
      </c>
      <c r="G27" s="2">
        <v>1.3</v>
      </c>
      <c r="H27" s="2">
        <v>1.3</v>
      </c>
      <c r="I27" s="2">
        <v>1.3</v>
      </c>
      <c r="J27" s="2">
        <v>1.3</v>
      </c>
      <c r="K27" s="2">
        <v>1.3</v>
      </c>
      <c r="L27" s="2">
        <v>1.3</v>
      </c>
      <c r="M27" s="2">
        <v>1.3</v>
      </c>
      <c r="AC27" s="2" t="str">
        <f t="shared" si="5"/>
        <v/>
      </c>
      <c r="AD27" s="2" t="str">
        <f t="shared" si="5"/>
        <v/>
      </c>
    </row>
    <row r="28" spans="1:30">
      <c r="A28" s="115" t="s">
        <v>245</v>
      </c>
      <c r="B28" s="2">
        <v>11</v>
      </c>
      <c r="C28" s="103" t="s">
        <v>98</v>
      </c>
      <c r="D28" t="s">
        <v>76</v>
      </c>
      <c r="E28" s="2">
        <v>4</v>
      </c>
      <c r="F28" s="2">
        <f t="shared" si="4"/>
        <v>4</v>
      </c>
      <c r="G28" s="2">
        <f t="shared" ref="G28:G29" si="14">IF(OR(G$14="",$E28=""),"",F28)</f>
        <v>4</v>
      </c>
      <c r="H28" s="2">
        <f t="shared" ref="H28:H29" si="15">IF(OR(H$14="",$E28=""),"",G28)</f>
        <v>4</v>
      </c>
      <c r="I28" s="2">
        <f t="shared" ref="I28:I29" si="16">IF(OR(I$14="",$E28=""),"",H28)</f>
        <v>4</v>
      </c>
      <c r="J28" s="2">
        <v>3</v>
      </c>
      <c r="K28" s="2">
        <v>2</v>
      </c>
      <c r="L28" s="2">
        <v>1</v>
      </c>
      <c r="M28" s="2">
        <f t="shared" ref="M28:M29" si="17">IF(OR(M$14="",$E28=""),"",L28)</f>
        <v>1</v>
      </c>
      <c r="AC28" s="2" t="str">
        <f t="shared" si="5"/>
        <v/>
      </c>
      <c r="AD28" s="2" t="str">
        <f t="shared" si="5"/>
        <v/>
      </c>
    </row>
    <row r="29" spans="1:30">
      <c r="A29" s="115" t="s">
        <v>246</v>
      </c>
      <c r="B29" s="2">
        <v>11</v>
      </c>
      <c r="C29" s="103" t="s">
        <v>98</v>
      </c>
      <c r="D29" t="str">
        <f t="shared" si="6"/>
        <v>Planned</v>
      </c>
      <c r="E29" s="2">
        <v>0.5</v>
      </c>
      <c r="F29" s="2">
        <f t="shared" si="4"/>
        <v>0.5</v>
      </c>
      <c r="G29" s="2">
        <f t="shared" si="14"/>
        <v>0.5</v>
      </c>
      <c r="H29" s="2">
        <f t="shared" si="15"/>
        <v>0.5</v>
      </c>
      <c r="I29" s="2">
        <f t="shared" si="16"/>
        <v>0.5</v>
      </c>
      <c r="J29" s="2">
        <f t="shared" ref="J29" si="18">IF(OR(J$14="",$E29=""),"",I29)</f>
        <v>0.5</v>
      </c>
      <c r="K29" s="2">
        <f t="shared" ref="K29" si="19">IF(OR(K$14="",$E29=""),"",J29)</f>
        <v>0.5</v>
      </c>
      <c r="L29" s="2">
        <f t="shared" ref="L29" si="20">IF(OR(L$14="",$E29=""),"",K29)</f>
        <v>0.5</v>
      </c>
      <c r="M29" s="2">
        <f t="shared" si="17"/>
        <v>0.5</v>
      </c>
      <c r="AC29" s="2" t="str">
        <f t="shared" si="5"/>
        <v/>
      </c>
      <c r="AD29" s="2" t="str">
        <f t="shared" si="5"/>
        <v/>
      </c>
    </row>
    <row r="30" spans="1:30">
      <c r="A30" s="115" t="s">
        <v>247</v>
      </c>
      <c r="B30" s="2">
        <v>13</v>
      </c>
      <c r="C30" s="103" t="s">
        <v>98</v>
      </c>
      <c r="D30" t="s">
        <v>75</v>
      </c>
      <c r="E30" s="2">
        <v>0.4</v>
      </c>
      <c r="F30" s="2">
        <f t="shared" si="4"/>
        <v>0.4</v>
      </c>
      <c r="G30" s="2">
        <v>0</v>
      </c>
      <c r="AC30" s="2" t="str">
        <f t="shared" si="5"/>
        <v/>
      </c>
      <c r="AD30" s="2" t="str">
        <f t="shared" si="5"/>
        <v/>
      </c>
    </row>
    <row r="31" spans="1:30">
      <c r="A31" s="115" t="s">
        <v>248</v>
      </c>
      <c r="B31" s="2">
        <v>13</v>
      </c>
      <c r="C31" s="103" t="s">
        <v>98</v>
      </c>
      <c r="D31" t="s">
        <v>75</v>
      </c>
      <c r="E31" s="2">
        <v>0.6</v>
      </c>
      <c r="F31" s="2">
        <f t="shared" si="4"/>
        <v>0.6</v>
      </c>
      <c r="G31" s="2">
        <v>0.4</v>
      </c>
      <c r="H31" s="2">
        <v>0</v>
      </c>
      <c r="AC31" s="2" t="str">
        <f t="shared" ref="AC31:AD45" si="21">IF(OR(AC$14="",$E31=""),"",AB31)</f>
        <v/>
      </c>
      <c r="AD31" s="2" t="str">
        <f t="shared" si="21"/>
        <v/>
      </c>
    </row>
    <row r="32" spans="1:30">
      <c r="A32" s="115" t="s">
        <v>249</v>
      </c>
      <c r="B32" s="2">
        <v>12</v>
      </c>
      <c r="C32" s="103" t="s">
        <v>98</v>
      </c>
      <c r="D32" t="str">
        <f t="shared" si="6"/>
        <v>Planned</v>
      </c>
      <c r="E32" s="2">
        <v>0.6</v>
      </c>
      <c r="F32" s="2">
        <f t="shared" si="4"/>
        <v>0.6</v>
      </c>
      <c r="G32" s="2">
        <f t="shared" ref="G32:G35" si="22">IF(OR(G$14="",$E32=""),"",F32)</f>
        <v>0.6</v>
      </c>
      <c r="H32" s="2">
        <f t="shared" ref="H32:H35" si="23">IF(OR(H$14="",$E32=""),"",G32)</f>
        <v>0.6</v>
      </c>
      <c r="I32" s="2">
        <f t="shared" ref="I32:I35" si="24">IF(OR(I$14="",$E32=""),"",H32)</f>
        <v>0.6</v>
      </c>
      <c r="J32" s="2">
        <f t="shared" ref="J32:J35" si="25">IF(OR(J$14="",$E32=""),"",I32)</f>
        <v>0.6</v>
      </c>
      <c r="K32" s="2">
        <f t="shared" ref="K32:K35" si="26">IF(OR(K$14="",$E32=""),"",J32)</f>
        <v>0.6</v>
      </c>
      <c r="L32" s="2">
        <f t="shared" ref="L32:L35" si="27">IF(OR(L$14="",$E32=""),"",K32)</f>
        <v>0.6</v>
      </c>
      <c r="M32" s="2">
        <f t="shared" ref="M32:M35" si="28">IF(OR(M$14="",$E32=""),"",L32)</f>
        <v>0.6</v>
      </c>
      <c r="AC32" s="2" t="str">
        <f t="shared" si="21"/>
        <v/>
      </c>
      <c r="AD32" s="2" t="str">
        <f t="shared" si="21"/>
        <v/>
      </c>
    </row>
    <row r="33" spans="1:30">
      <c r="A33" s="115" t="s">
        <v>250</v>
      </c>
      <c r="B33" s="2">
        <v>12</v>
      </c>
      <c r="C33" s="103" t="s">
        <v>98</v>
      </c>
      <c r="D33" t="str">
        <f t="shared" si="6"/>
        <v>Planned</v>
      </c>
      <c r="E33" s="2">
        <v>0.6</v>
      </c>
      <c r="F33" s="2">
        <f t="shared" ref="F33:F34" si="29">IF(OR(F$14="",$E33=""),"",E33)</f>
        <v>0.6</v>
      </c>
      <c r="G33" s="2">
        <f t="shared" si="22"/>
        <v>0.6</v>
      </c>
      <c r="H33" s="2">
        <f t="shared" si="23"/>
        <v>0.6</v>
      </c>
      <c r="I33" s="2">
        <f t="shared" si="24"/>
        <v>0.6</v>
      </c>
      <c r="J33" s="2">
        <f t="shared" si="25"/>
        <v>0.6</v>
      </c>
      <c r="K33" s="2">
        <f t="shared" si="26"/>
        <v>0.6</v>
      </c>
      <c r="L33" s="2">
        <f t="shared" si="27"/>
        <v>0.6</v>
      </c>
      <c r="M33" s="2">
        <f t="shared" si="28"/>
        <v>0.6</v>
      </c>
      <c r="AC33" s="2" t="str">
        <f t="shared" si="21"/>
        <v/>
      </c>
      <c r="AD33" s="2" t="str">
        <f t="shared" si="21"/>
        <v/>
      </c>
    </row>
    <row r="34" spans="1:30">
      <c r="A34" s="115" t="s">
        <v>251</v>
      </c>
      <c r="B34" s="2">
        <v>12</v>
      </c>
      <c r="C34" s="103" t="s">
        <v>98</v>
      </c>
      <c r="D34" t="str">
        <f t="shared" si="6"/>
        <v>Planned</v>
      </c>
      <c r="E34" s="2">
        <v>0.6</v>
      </c>
      <c r="F34" s="2">
        <f t="shared" si="29"/>
        <v>0.6</v>
      </c>
      <c r="G34" s="2">
        <f t="shared" si="22"/>
        <v>0.6</v>
      </c>
      <c r="H34" s="2">
        <f t="shared" si="23"/>
        <v>0.6</v>
      </c>
      <c r="I34" s="2">
        <f t="shared" si="24"/>
        <v>0.6</v>
      </c>
      <c r="J34" s="2">
        <f t="shared" si="25"/>
        <v>0.6</v>
      </c>
      <c r="K34" s="2">
        <f t="shared" si="26"/>
        <v>0.6</v>
      </c>
      <c r="L34" s="2">
        <f t="shared" si="27"/>
        <v>0.6</v>
      </c>
      <c r="M34" s="2">
        <f t="shared" si="28"/>
        <v>0.6</v>
      </c>
      <c r="AC34" s="2" t="str">
        <f t="shared" si="21"/>
        <v/>
      </c>
      <c r="AD34" s="2" t="str">
        <f t="shared" si="21"/>
        <v/>
      </c>
    </row>
    <row r="35" spans="1:30">
      <c r="A35" s="115" t="s">
        <v>252</v>
      </c>
      <c r="B35" s="2">
        <v>12</v>
      </c>
      <c r="C35" s="103" t="s">
        <v>98</v>
      </c>
      <c r="D35" t="str">
        <f t="shared" si="6"/>
        <v>Planned</v>
      </c>
      <c r="E35" s="2">
        <v>0.8</v>
      </c>
      <c r="F35" s="2">
        <f t="shared" si="4"/>
        <v>0.8</v>
      </c>
      <c r="G35" s="2">
        <f t="shared" si="22"/>
        <v>0.8</v>
      </c>
      <c r="H35" s="2">
        <f t="shared" si="23"/>
        <v>0.8</v>
      </c>
      <c r="I35" s="2">
        <f t="shared" si="24"/>
        <v>0.8</v>
      </c>
      <c r="J35" s="2">
        <f t="shared" si="25"/>
        <v>0.8</v>
      </c>
      <c r="K35" s="2">
        <f t="shared" si="26"/>
        <v>0.8</v>
      </c>
      <c r="L35" s="2">
        <f t="shared" si="27"/>
        <v>0.8</v>
      </c>
      <c r="M35" s="2">
        <f t="shared" si="28"/>
        <v>0.8</v>
      </c>
      <c r="AC35" s="2" t="str">
        <f t="shared" si="21"/>
        <v/>
      </c>
      <c r="AD35" s="2" t="str">
        <f t="shared" si="21"/>
        <v/>
      </c>
    </row>
    <row r="36" spans="1:30">
      <c r="A36" s="115" t="s">
        <v>253</v>
      </c>
      <c r="B36" s="2">
        <v>11</v>
      </c>
      <c r="C36" s="103" t="s">
        <v>148</v>
      </c>
      <c r="D36" t="s">
        <v>76</v>
      </c>
      <c r="E36" s="2">
        <v>0.4</v>
      </c>
      <c r="F36" s="2">
        <f t="shared" si="4"/>
        <v>0.4</v>
      </c>
      <c r="G36" s="2">
        <v>0.1</v>
      </c>
      <c r="H36" s="2">
        <v>0.1</v>
      </c>
      <c r="I36" s="2">
        <v>0.1</v>
      </c>
      <c r="J36" s="2">
        <v>0.1</v>
      </c>
      <c r="K36" s="2">
        <v>0.1</v>
      </c>
      <c r="L36" s="2">
        <v>0.1</v>
      </c>
      <c r="M36" s="2">
        <v>0.1</v>
      </c>
      <c r="AC36" s="2" t="str">
        <f t="shared" si="21"/>
        <v/>
      </c>
      <c r="AD36" s="2" t="str">
        <f t="shared" si="21"/>
        <v/>
      </c>
    </row>
    <row r="37" spans="1:30">
      <c r="A37" s="115" t="s">
        <v>254</v>
      </c>
      <c r="B37" s="2">
        <v>11</v>
      </c>
      <c r="C37" s="103" t="s">
        <v>148</v>
      </c>
      <c r="D37" t="s">
        <v>76</v>
      </c>
      <c r="E37" s="2">
        <v>1.5</v>
      </c>
      <c r="F37" s="2">
        <f t="shared" si="4"/>
        <v>1.5</v>
      </c>
      <c r="G37" s="2">
        <v>1.5</v>
      </c>
      <c r="H37" s="2">
        <v>1.5</v>
      </c>
      <c r="I37" s="2">
        <v>1.5</v>
      </c>
      <c r="J37" s="2">
        <v>1.5</v>
      </c>
      <c r="K37" s="2">
        <v>1.5</v>
      </c>
      <c r="L37" s="2">
        <v>1.5</v>
      </c>
      <c r="M37" s="2">
        <v>1</v>
      </c>
      <c r="AC37" s="2" t="str">
        <f t="shared" si="21"/>
        <v/>
      </c>
      <c r="AD37" s="2" t="str">
        <f t="shared" si="21"/>
        <v/>
      </c>
    </row>
    <row r="38" spans="1:30">
      <c r="A38" s="116" t="s">
        <v>266</v>
      </c>
      <c r="B38" s="2">
        <v>11</v>
      </c>
      <c r="C38" s="103" t="s">
        <v>148</v>
      </c>
      <c r="D38" t="str">
        <f t="shared" si="6"/>
        <v>Planned</v>
      </c>
      <c r="E38" s="2">
        <v>0.5</v>
      </c>
      <c r="F38" s="2">
        <f t="shared" si="4"/>
        <v>0.5</v>
      </c>
      <c r="G38" s="2">
        <f t="shared" ref="G38:G39" si="30">IF(OR(G$14="",$E38=""),"",F38)</f>
        <v>0.5</v>
      </c>
      <c r="H38" s="2">
        <f t="shared" ref="H38:H39" si="31">IF(OR(H$14="",$E38=""),"",G38)</f>
        <v>0.5</v>
      </c>
      <c r="I38" s="2">
        <f t="shared" ref="I38:I39" si="32">IF(OR(I$14="",$E38=""),"",H38)</f>
        <v>0.5</v>
      </c>
      <c r="J38" s="2">
        <f t="shared" ref="J38:J39" si="33">IF(OR(J$14="",$E38=""),"",I38)</f>
        <v>0.5</v>
      </c>
      <c r="K38" s="2">
        <f t="shared" ref="K38:K39" si="34">IF(OR(K$14="",$E38=""),"",J38)</f>
        <v>0.5</v>
      </c>
      <c r="L38" s="2">
        <f t="shared" ref="L38:L39" si="35">IF(OR(L$14="",$E38=""),"",K38)</f>
        <v>0.5</v>
      </c>
      <c r="M38" s="2">
        <f t="shared" ref="M38" si="36">IF(OR(M$14="",$E38=""),"",L38)</f>
        <v>0.5</v>
      </c>
      <c r="AC38" s="2" t="str">
        <f t="shared" si="21"/>
        <v/>
      </c>
      <c r="AD38" s="2" t="str">
        <f t="shared" si="21"/>
        <v/>
      </c>
    </row>
    <row r="39" spans="1:30">
      <c r="A39" s="115" t="s">
        <v>255</v>
      </c>
      <c r="B39" s="2">
        <v>12</v>
      </c>
      <c r="C39" s="103" t="s">
        <v>98</v>
      </c>
      <c r="D39" t="s">
        <v>75</v>
      </c>
      <c r="E39" s="2">
        <v>0.5</v>
      </c>
      <c r="F39" s="2">
        <f t="shared" si="4"/>
        <v>0.5</v>
      </c>
      <c r="G39" s="2">
        <f t="shared" si="30"/>
        <v>0.5</v>
      </c>
      <c r="H39" s="2">
        <f t="shared" si="31"/>
        <v>0.5</v>
      </c>
      <c r="I39" s="2">
        <f t="shared" si="32"/>
        <v>0.5</v>
      </c>
      <c r="J39" s="2">
        <f t="shared" si="33"/>
        <v>0.5</v>
      </c>
      <c r="K39" s="2">
        <f t="shared" si="34"/>
        <v>0.5</v>
      </c>
      <c r="L39" s="2">
        <f t="shared" si="35"/>
        <v>0.5</v>
      </c>
      <c r="M39" s="2">
        <v>0</v>
      </c>
      <c r="AC39" s="2" t="str">
        <f t="shared" si="21"/>
        <v/>
      </c>
      <c r="AD39" s="2" t="str">
        <f t="shared" si="21"/>
        <v/>
      </c>
    </row>
    <row r="40" spans="1:30">
      <c r="A40" s="115" t="s">
        <v>256</v>
      </c>
      <c r="B40" s="2">
        <v>11</v>
      </c>
      <c r="C40" s="103" t="s">
        <v>98</v>
      </c>
      <c r="D40" t="s">
        <v>75</v>
      </c>
      <c r="E40" s="2">
        <v>0.5</v>
      </c>
      <c r="F40" s="2">
        <f t="shared" si="4"/>
        <v>0.5</v>
      </c>
      <c r="G40" s="2">
        <v>0.5</v>
      </c>
      <c r="H40" s="2">
        <v>0.5</v>
      </c>
      <c r="I40" s="2">
        <v>0.5</v>
      </c>
      <c r="J40" s="2">
        <v>0</v>
      </c>
      <c r="AC40" s="2" t="str">
        <f t="shared" si="21"/>
        <v/>
      </c>
      <c r="AD40" s="2" t="str">
        <f t="shared" si="21"/>
        <v/>
      </c>
    </row>
    <row r="41" spans="1:30">
      <c r="A41" s="115" t="s">
        <v>257</v>
      </c>
      <c r="B41" s="2">
        <v>11</v>
      </c>
      <c r="C41" s="103" t="s">
        <v>98</v>
      </c>
      <c r="D41" t="s">
        <v>75</v>
      </c>
      <c r="E41" s="2">
        <v>0.5</v>
      </c>
      <c r="F41" s="2">
        <f t="shared" si="4"/>
        <v>0.5</v>
      </c>
      <c r="G41" s="2">
        <v>0.5</v>
      </c>
      <c r="H41" s="2">
        <v>0.5</v>
      </c>
      <c r="I41" s="2">
        <v>0.5</v>
      </c>
      <c r="J41" s="2">
        <v>0</v>
      </c>
      <c r="AC41" s="2" t="str">
        <f t="shared" si="21"/>
        <v/>
      </c>
      <c r="AD41" s="2" t="str">
        <f t="shared" si="21"/>
        <v/>
      </c>
    </row>
    <row r="42" spans="1:30">
      <c r="A42" s="115" t="s">
        <v>258</v>
      </c>
      <c r="B42" s="2">
        <v>11</v>
      </c>
      <c r="C42" s="103" t="s">
        <v>98</v>
      </c>
      <c r="D42" t="str">
        <f t="shared" si="6"/>
        <v>Planned</v>
      </c>
      <c r="E42" s="2">
        <v>0.6</v>
      </c>
      <c r="F42" s="2">
        <f t="shared" si="4"/>
        <v>0.6</v>
      </c>
      <c r="G42" s="2">
        <f t="shared" ref="G42:G48" si="37">IF(OR(G$14="",$E42=""),"",F42)</f>
        <v>0.6</v>
      </c>
      <c r="H42" s="2">
        <f t="shared" ref="H42:H48" si="38">IF(OR(H$14="",$E42=""),"",G42)</f>
        <v>0.6</v>
      </c>
      <c r="I42" s="2">
        <f t="shared" ref="I42:I48" si="39">IF(OR(I$14="",$E42=""),"",H42)</f>
        <v>0.6</v>
      </c>
      <c r="J42" s="2">
        <f t="shared" ref="J42:J48" si="40">IF(OR(J$14="",$E42=""),"",I42)</f>
        <v>0.6</v>
      </c>
      <c r="K42" s="2">
        <f t="shared" ref="K42:K48" si="41">IF(OR(K$14="",$E42=""),"",J42)</f>
        <v>0.6</v>
      </c>
      <c r="L42" s="2">
        <f t="shared" ref="L42:L48" si="42">IF(OR(L$14="",$E42=""),"",K42)</f>
        <v>0.6</v>
      </c>
      <c r="M42" s="2">
        <f t="shared" ref="M42:M48" si="43">IF(OR(M$14="",$E42=""),"",L42)</f>
        <v>0.6</v>
      </c>
      <c r="AC42" s="2" t="str">
        <f t="shared" si="21"/>
        <v/>
      </c>
      <c r="AD42" s="2" t="str">
        <f t="shared" si="21"/>
        <v/>
      </c>
    </row>
    <row r="43" spans="1:30">
      <c r="A43" s="115" t="s">
        <v>259</v>
      </c>
      <c r="B43" s="2">
        <v>11</v>
      </c>
      <c r="C43" s="103" t="s">
        <v>98</v>
      </c>
      <c r="D43" t="str">
        <f t="shared" si="6"/>
        <v>Planned</v>
      </c>
      <c r="E43" s="2">
        <v>4</v>
      </c>
      <c r="F43" s="2">
        <f t="shared" si="4"/>
        <v>4</v>
      </c>
      <c r="G43" s="2">
        <f t="shared" si="37"/>
        <v>4</v>
      </c>
      <c r="H43" s="2">
        <f t="shared" si="38"/>
        <v>4</v>
      </c>
      <c r="I43" s="2">
        <f t="shared" si="39"/>
        <v>4</v>
      </c>
      <c r="J43" s="2">
        <f t="shared" si="40"/>
        <v>4</v>
      </c>
      <c r="K43" s="2">
        <f t="shared" si="41"/>
        <v>4</v>
      </c>
      <c r="L43" s="2">
        <f t="shared" si="42"/>
        <v>4</v>
      </c>
      <c r="M43" s="2">
        <f t="shared" si="43"/>
        <v>4</v>
      </c>
      <c r="AC43" s="2" t="str">
        <f t="shared" si="21"/>
        <v/>
      </c>
      <c r="AD43" s="2" t="str">
        <f t="shared" si="21"/>
        <v/>
      </c>
    </row>
    <row r="44" spans="1:30">
      <c r="A44" s="115" t="s">
        <v>260</v>
      </c>
      <c r="B44" s="2">
        <v>11</v>
      </c>
      <c r="C44" s="103" t="s">
        <v>134</v>
      </c>
      <c r="D44" t="str">
        <f t="shared" si="6"/>
        <v>Planned</v>
      </c>
      <c r="E44" s="2">
        <v>0.8</v>
      </c>
      <c r="F44" s="2">
        <f t="shared" si="4"/>
        <v>0.8</v>
      </c>
      <c r="G44" s="2">
        <f t="shared" si="37"/>
        <v>0.8</v>
      </c>
      <c r="H44" s="2">
        <f t="shared" si="38"/>
        <v>0.8</v>
      </c>
      <c r="I44" s="2">
        <f t="shared" si="39"/>
        <v>0.8</v>
      </c>
      <c r="J44" s="2">
        <f t="shared" si="40"/>
        <v>0.8</v>
      </c>
      <c r="K44" s="2">
        <f t="shared" si="41"/>
        <v>0.8</v>
      </c>
      <c r="L44" s="2">
        <f t="shared" si="42"/>
        <v>0.8</v>
      </c>
      <c r="M44" s="2">
        <f t="shared" si="43"/>
        <v>0.8</v>
      </c>
      <c r="AC44" s="2" t="str">
        <f t="shared" si="21"/>
        <v/>
      </c>
      <c r="AD44" s="2" t="str">
        <f t="shared" si="21"/>
        <v/>
      </c>
    </row>
    <row r="45" spans="1:30">
      <c r="A45" s="115" t="s">
        <v>261</v>
      </c>
      <c r="B45" s="2">
        <v>11</v>
      </c>
      <c r="C45" s="103" t="s">
        <v>98</v>
      </c>
      <c r="D45" t="str">
        <f t="shared" si="6"/>
        <v>Planned</v>
      </c>
      <c r="E45" s="104">
        <v>0.6</v>
      </c>
      <c r="F45" s="2">
        <f t="shared" si="4"/>
        <v>0.6</v>
      </c>
      <c r="G45" s="2">
        <f t="shared" si="37"/>
        <v>0.6</v>
      </c>
      <c r="H45" s="2">
        <f t="shared" si="38"/>
        <v>0.6</v>
      </c>
      <c r="I45" s="2">
        <f t="shared" si="39"/>
        <v>0.6</v>
      </c>
      <c r="J45" s="2">
        <f t="shared" si="40"/>
        <v>0.6</v>
      </c>
      <c r="K45" s="2">
        <f t="shared" si="41"/>
        <v>0.6</v>
      </c>
      <c r="L45" s="2">
        <f t="shared" si="42"/>
        <v>0.6</v>
      </c>
      <c r="M45" s="2">
        <f t="shared" si="43"/>
        <v>0.6</v>
      </c>
      <c r="AC45" s="2" t="str">
        <f t="shared" si="21"/>
        <v/>
      </c>
      <c r="AD45" s="2" t="str">
        <f t="shared" si="21"/>
        <v/>
      </c>
    </row>
    <row r="46" spans="1:30">
      <c r="A46" s="115" t="s">
        <v>262</v>
      </c>
      <c r="B46" s="2">
        <v>11</v>
      </c>
      <c r="C46" s="103" t="s">
        <v>98</v>
      </c>
      <c r="D46" t="str">
        <f t="shared" si="6"/>
        <v>Planned</v>
      </c>
      <c r="E46" s="2">
        <v>0.7</v>
      </c>
      <c r="F46" s="2">
        <f t="shared" si="4"/>
        <v>0.7</v>
      </c>
      <c r="G46" s="2">
        <f t="shared" si="37"/>
        <v>0.7</v>
      </c>
      <c r="H46" s="2">
        <f t="shared" si="38"/>
        <v>0.7</v>
      </c>
      <c r="I46" s="2">
        <f t="shared" si="39"/>
        <v>0.7</v>
      </c>
      <c r="J46" s="2">
        <f t="shared" si="40"/>
        <v>0.7</v>
      </c>
      <c r="K46" s="2">
        <f t="shared" si="41"/>
        <v>0.7</v>
      </c>
      <c r="L46" s="2">
        <f t="shared" si="42"/>
        <v>0.7</v>
      </c>
      <c r="M46" s="2">
        <f t="shared" si="43"/>
        <v>0.7</v>
      </c>
      <c r="AC46" s="2" t="str">
        <f t="shared" ref="AC46:AD49" si="44">IF(OR(AC$14="",$E46=""),"",AB46)</f>
        <v/>
      </c>
      <c r="AD46" s="2" t="str">
        <f t="shared" si="44"/>
        <v/>
      </c>
    </row>
    <row r="47" spans="1:30">
      <c r="A47" s="115" t="s">
        <v>263</v>
      </c>
      <c r="B47" s="2">
        <v>11</v>
      </c>
      <c r="C47" s="103" t="s">
        <v>98</v>
      </c>
      <c r="D47" t="str">
        <f t="shared" si="6"/>
        <v>Planned</v>
      </c>
      <c r="E47" s="2">
        <v>0.7</v>
      </c>
      <c r="F47" s="2">
        <f t="shared" si="4"/>
        <v>0.7</v>
      </c>
      <c r="G47" s="2">
        <f t="shared" si="37"/>
        <v>0.7</v>
      </c>
      <c r="H47" s="2">
        <f t="shared" si="38"/>
        <v>0.7</v>
      </c>
      <c r="I47" s="2">
        <f t="shared" si="39"/>
        <v>0.7</v>
      </c>
      <c r="J47" s="2">
        <f t="shared" si="40"/>
        <v>0.7</v>
      </c>
      <c r="K47" s="2">
        <f t="shared" si="41"/>
        <v>0.7</v>
      </c>
      <c r="L47" s="2">
        <f t="shared" si="42"/>
        <v>0.7</v>
      </c>
      <c r="M47" s="2">
        <f t="shared" si="43"/>
        <v>0.7</v>
      </c>
      <c r="AC47" s="2" t="str">
        <f t="shared" si="44"/>
        <v/>
      </c>
      <c r="AD47" s="2" t="str">
        <f t="shared" si="44"/>
        <v/>
      </c>
    </row>
    <row r="48" spans="1:30">
      <c r="A48" s="115" t="s">
        <v>264</v>
      </c>
      <c r="B48" s="2">
        <v>11</v>
      </c>
      <c r="C48" s="103" t="s">
        <v>98</v>
      </c>
      <c r="D48" t="str">
        <f t="shared" si="6"/>
        <v>Planned</v>
      </c>
      <c r="E48" s="2">
        <v>0.7</v>
      </c>
      <c r="F48" s="2">
        <f t="shared" si="4"/>
        <v>0.7</v>
      </c>
      <c r="G48" s="2">
        <f t="shared" si="37"/>
        <v>0.7</v>
      </c>
      <c r="H48" s="2">
        <f t="shared" si="38"/>
        <v>0.7</v>
      </c>
      <c r="I48" s="2">
        <f t="shared" si="39"/>
        <v>0.7</v>
      </c>
      <c r="J48" s="2">
        <f t="shared" si="40"/>
        <v>0.7</v>
      </c>
      <c r="K48" s="2">
        <f t="shared" si="41"/>
        <v>0.7</v>
      </c>
      <c r="L48" s="2">
        <f t="shared" si="42"/>
        <v>0.7</v>
      </c>
      <c r="M48" s="2">
        <f t="shared" si="43"/>
        <v>0.7</v>
      </c>
      <c r="N48" s="2" t="str">
        <f t="shared" si="4"/>
        <v/>
      </c>
      <c r="O48" s="2" t="str">
        <f t="shared" si="4"/>
        <v/>
      </c>
      <c r="P48" s="2" t="str">
        <f t="shared" si="4"/>
        <v/>
      </c>
      <c r="Q48" s="2" t="str">
        <f t="shared" si="4"/>
        <v/>
      </c>
      <c r="R48" s="2" t="str">
        <f t="shared" si="4"/>
        <v/>
      </c>
      <c r="S48" s="2" t="str">
        <f t="shared" si="4"/>
        <v/>
      </c>
      <c r="T48" s="2" t="str">
        <f t="shared" si="4"/>
        <v/>
      </c>
      <c r="U48" s="2" t="str">
        <f t="shared" si="4"/>
        <v/>
      </c>
      <c r="V48" s="2" t="str">
        <f t="shared" ref="V48:AB49" si="45">IF(OR(V$14="",$E48=""),"",U48)</f>
        <v/>
      </c>
      <c r="W48" s="2" t="str">
        <f t="shared" si="45"/>
        <v/>
      </c>
      <c r="X48" s="2" t="str">
        <f t="shared" si="45"/>
        <v/>
      </c>
      <c r="Y48" s="2" t="str">
        <f t="shared" si="45"/>
        <v/>
      </c>
      <c r="Z48" s="2" t="str">
        <f t="shared" si="45"/>
        <v/>
      </c>
      <c r="AA48" s="2" t="str">
        <f t="shared" si="45"/>
        <v/>
      </c>
      <c r="AB48" s="2" t="str">
        <f t="shared" si="45"/>
        <v/>
      </c>
      <c r="AC48" s="2" t="str">
        <f t="shared" si="44"/>
        <v/>
      </c>
      <c r="AD48" s="2" t="str">
        <f t="shared" si="44"/>
        <v/>
      </c>
    </row>
    <row r="49" spans="4:30">
      <c r="D49" t="str">
        <f t="shared" si="6"/>
        <v/>
      </c>
      <c r="F49" s="2" t="str">
        <f t="shared" si="4"/>
        <v/>
      </c>
      <c r="G49" s="2" t="str">
        <f t="shared" si="4"/>
        <v/>
      </c>
      <c r="H49" s="2" t="str">
        <f t="shared" si="4"/>
        <v/>
      </c>
      <c r="I49" s="2" t="str">
        <f t="shared" si="4"/>
        <v/>
      </c>
      <c r="J49" s="2" t="str">
        <f t="shared" si="4"/>
        <v/>
      </c>
      <c r="K49" s="2" t="str">
        <f t="shared" si="4"/>
        <v/>
      </c>
      <c r="L49" s="2" t="str">
        <f t="shared" si="4"/>
        <v/>
      </c>
      <c r="M49" s="2" t="str">
        <f t="shared" si="4"/>
        <v/>
      </c>
      <c r="N49" s="2" t="str">
        <f t="shared" si="4"/>
        <v/>
      </c>
      <c r="O49" s="2" t="str">
        <f t="shared" si="4"/>
        <v/>
      </c>
      <c r="P49" s="2" t="str">
        <f t="shared" si="4"/>
        <v/>
      </c>
      <c r="Q49" s="2" t="str">
        <f t="shared" si="4"/>
        <v/>
      </c>
      <c r="R49" s="2" t="str">
        <f t="shared" si="4"/>
        <v/>
      </c>
      <c r="S49" s="2" t="str">
        <f t="shared" si="4"/>
        <v/>
      </c>
      <c r="T49" s="2" t="str">
        <f t="shared" si="4"/>
        <v/>
      </c>
      <c r="U49" s="2" t="str">
        <f t="shared" si="4"/>
        <v/>
      </c>
      <c r="V49" s="2" t="str">
        <f t="shared" si="45"/>
        <v/>
      </c>
      <c r="W49" s="2" t="str">
        <f t="shared" si="45"/>
        <v/>
      </c>
      <c r="X49" s="2" t="str">
        <f t="shared" si="45"/>
        <v/>
      </c>
      <c r="Y49" s="2" t="str">
        <f t="shared" si="45"/>
        <v/>
      </c>
      <c r="Z49" s="2" t="str">
        <f t="shared" si="45"/>
        <v/>
      </c>
      <c r="AA49" s="2" t="str">
        <f t="shared" si="45"/>
        <v/>
      </c>
      <c r="AB49" s="2" t="str">
        <f t="shared" si="45"/>
        <v/>
      </c>
      <c r="AC49" s="2" t="str">
        <f t="shared" si="44"/>
        <v/>
      </c>
      <c r="AD49" s="2" t="str">
        <f t="shared" si="44"/>
        <v/>
      </c>
    </row>
    <row r="54" spans="4:30">
      <c r="D54" t="str">
        <f>IF(A54&lt;&gt;"","Planned","")</f>
        <v/>
      </c>
    </row>
  </sheetData>
  <conditionalFormatting sqref="A15:AD48">
    <cfRule type="expression" dxfId="67" priority="37" stopIfTrue="1">
      <formula>$D15="Done"</formula>
    </cfRule>
    <cfRule type="expression" dxfId="66" priority="38" stopIfTrue="1">
      <formula>$D15="Ongoing"</formula>
    </cfRule>
  </conditionalFormatting>
  <conditionalFormatting sqref="A15:A17">
    <cfRule type="expression" dxfId="65" priority="29" stopIfTrue="1">
      <formula>$D15="Done"</formula>
    </cfRule>
    <cfRule type="expression" dxfId="64" priority="30" stopIfTrue="1">
      <formula>$D15="Ongoing"</formula>
    </cfRule>
  </conditionalFormatting>
  <conditionalFormatting sqref="A15:A16">
    <cfRule type="expression" dxfId="63" priority="27" stopIfTrue="1">
      <formula>$D15="Done"</formula>
    </cfRule>
    <cfRule type="expression" dxfId="62" priority="28" stopIfTrue="1">
      <formula>$D15="Ongoing"</formula>
    </cfRule>
  </conditionalFormatting>
  <conditionalFormatting sqref="A15:A16">
    <cfRule type="expression" dxfId="61" priority="25" stopIfTrue="1">
      <formula>$D15="Done"</formula>
    </cfRule>
    <cfRule type="expression" dxfId="60" priority="26" stopIfTrue="1">
      <formula>$D15="Ongoing"</formula>
    </cfRule>
  </conditionalFormatting>
  <conditionalFormatting sqref="A15">
    <cfRule type="expression" dxfId="59" priority="23" stopIfTrue="1">
      <formula>$D15="Done"</formula>
    </cfRule>
    <cfRule type="expression" dxfId="58" priority="24" stopIfTrue="1">
      <formula>$D15="Ongoing"</formula>
    </cfRule>
  </conditionalFormatting>
  <conditionalFormatting sqref="A15">
    <cfRule type="expression" dxfId="57" priority="21" stopIfTrue="1">
      <formula>$D15="Done"</formula>
    </cfRule>
    <cfRule type="expression" dxfId="56" priority="22" stopIfTrue="1">
      <formula>$D15="Ongoing"</formula>
    </cfRule>
  </conditionalFormatting>
  <conditionalFormatting sqref="A15">
    <cfRule type="expression" dxfId="55" priority="19" stopIfTrue="1">
      <formula>$D15="Done"</formula>
    </cfRule>
    <cfRule type="expression" dxfId="54" priority="20" stopIfTrue="1">
      <formula>$D15="Ongoing"</formula>
    </cfRule>
  </conditionalFormatting>
  <conditionalFormatting sqref="A15">
    <cfRule type="expression" dxfId="53" priority="17" stopIfTrue="1">
      <formula>$D15="Done"</formula>
    </cfRule>
    <cfRule type="expression" dxfId="52" priority="18" stopIfTrue="1">
      <formula>$D15="Ongoing"</formula>
    </cfRule>
  </conditionalFormatting>
  <conditionalFormatting sqref="A17">
    <cfRule type="expression" dxfId="51" priority="11" stopIfTrue="1">
      <formula>$D17="Done"</formula>
    </cfRule>
    <cfRule type="expression" dxfId="50" priority="12" stopIfTrue="1">
      <formula>$D17="Ongoing"</formula>
    </cfRule>
  </conditionalFormatting>
  <dataValidations count="1">
    <dataValidation type="list" allowBlank="1" showInputMessage="1" sqref="D3:D8 D15:D54">
      <formula1>"Planned,Ongoing,Done"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A1:AD63"/>
  <sheetViews>
    <sheetView workbookViewId="0">
      <pane ySplit="14" topLeftCell="A21" activePane="bottomLeft" state="frozen"/>
      <selection pane="bottomLeft" activeCell="A33" sqref="A33:XFD33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14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7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18.799999999999997</v>
      </c>
      <c r="F10" s="17">
        <f ca="1">IF(AND(SUM(OFFSET(F14,1,0,TaskRows,1))=0),0,SUM(OFFSET(F14,1,0,TaskRows,1)))</f>
        <v>18.799999999999997</v>
      </c>
      <c r="G10" s="17">
        <f t="shared" ref="G10:AD10" ca="1" si="0">IF(AND(SUM(OFFSET(G14,1,0,TaskRows,1))=0),"",SUM(OFFSET(G14,1,0,TaskRows,1)))</f>
        <v>15.499999999999998</v>
      </c>
      <c r="H10" s="17">
        <f t="shared" ca="1" si="0"/>
        <v>15.499999999999998</v>
      </c>
      <c r="I10" s="17">
        <f t="shared" ca="1" si="0"/>
        <v>13.499999999999998</v>
      </c>
      <c r="J10" s="17">
        <f t="shared" ca="1" si="0"/>
        <v>13.499999999999998</v>
      </c>
      <c r="K10" s="17">
        <f t="shared" ca="1" si="0"/>
        <v>12.499999999999998</v>
      </c>
      <c r="L10" s="17">
        <f t="shared" ca="1" si="0"/>
        <v>10.499999999999996</v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IF(COUNTA(A15:A241)=0,1,COUNTA(A15:A241))</f>
        <v>23</v>
      </c>
      <c r="C11" t="s">
        <v>23</v>
      </c>
      <c r="D11" s="2">
        <f ca="1">IF(COUNTIF(F10:AD10,"&gt;0")=0,1,COUNTIF(F10:AD10,"&gt;0"))</f>
        <v>7</v>
      </c>
      <c r="F11" s="2">
        <f ca="1">IF(F14="","",$E10-$E10/($B9-1)*(F14-1))</f>
        <v>18.799999999999997</v>
      </c>
      <c r="G11" s="2">
        <f t="shared" ref="G11:AD11" ca="1" si="1">IF(G14="","",TotalEffort-TotalEffort/(ImplementationDays)*(G14-1))</f>
        <v>16.11428571428571</v>
      </c>
      <c r="H11" s="2">
        <f t="shared" ca="1" si="1"/>
        <v>13.428571428571427</v>
      </c>
      <c r="I11" s="2">
        <f t="shared" ca="1" si="1"/>
        <v>10.74285714285714</v>
      </c>
      <c r="J11" s="2">
        <f t="shared" ca="1" si="1"/>
        <v>8.0571428571428552</v>
      </c>
      <c r="K11" s="2">
        <f t="shared" ca="1" si="1"/>
        <v>5.3714285714285701</v>
      </c>
      <c r="L11" s="2">
        <f t="shared" ca="1" si="1"/>
        <v>2.6857142857142833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17.5</v>
      </c>
      <c r="G12" s="2">
        <f t="shared" ca="1" si="2"/>
        <v>16.399999999999999</v>
      </c>
      <c r="H12" s="2">
        <f t="shared" ca="1" si="2"/>
        <v>15.3</v>
      </c>
      <c r="I12" s="2">
        <f t="shared" ca="1" si="2"/>
        <v>14.2</v>
      </c>
      <c r="J12" s="2">
        <f t="shared" ca="1" si="2"/>
        <v>13.099999999999998</v>
      </c>
      <c r="K12" s="2">
        <f t="shared" ca="1" si="2"/>
        <v>11.999999999999998</v>
      </c>
      <c r="L12" s="2">
        <f t="shared" ca="1" si="2"/>
        <v>10.899999999999999</v>
      </c>
      <c r="M12" s="2">
        <f t="shared" ca="1" si="2"/>
        <v>9.7999999999999972</v>
      </c>
      <c r="N12" s="2">
        <f t="shared" ca="1" si="2"/>
        <v>8.6999999999999957</v>
      </c>
      <c r="O12" s="2">
        <f t="shared" ca="1" si="2"/>
        <v>7.5999999999999961</v>
      </c>
      <c r="P12" s="2">
        <f t="shared" ca="1" si="2"/>
        <v>6.4999999999999964</v>
      </c>
      <c r="Q12" s="2">
        <f t="shared" ca="1" si="2"/>
        <v>5.399999999999995</v>
      </c>
      <c r="R12" s="2">
        <f t="shared" ca="1" si="2"/>
        <v>4.2999999999999936</v>
      </c>
      <c r="S12" s="2">
        <f t="shared" ca="1" si="2"/>
        <v>3.199999999999994</v>
      </c>
      <c r="T12" s="2">
        <f t="shared" ca="1" si="2"/>
        <v>2.0999999999999943</v>
      </c>
      <c r="U12" s="2">
        <f t="shared" ca="1" si="2"/>
        <v>0.99999999999999289</v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09" t="s">
        <v>183</v>
      </c>
      <c r="B15" s="2">
        <v>5</v>
      </c>
      <c r="C15" s="103" t="s">
        <v>98</v>
      </c>
      <c r="D15" t="s">
        <v>76</v>
      </c>
      <c r="E15" s="2">
        <v>0.1</v>
      </c>
      <c r="F15" s="2">
        <f t="shared" ref="F15:U58" si="4">IF(OR(F$14="",$E15=""),"",E15)</f>
        <v>0.1</v>
      </c>
      <c r="G15" s="2">
        <v>0.1</v>
      </c>
      <c r="H15" s="2">
        <v>0.1</v>
      </c>
      <c r="I15" s="2">
        <v>0.1</v>
      </c>
      <c r="J15" s="2">
        <v>0.1</v>
      </c>
      <c r="K15" s="2">
        <v>0.1</v>
      </c>
      <c r="L15" s="2">
        <v>0.1</v>
      </c>
    </row>
    <row r="16" spans="1:30">
      <c r="A16" s="103" t="s">
        <v>265</v>
      </c>
      <c r="B16" s="2">
        <v>11</v>
      </c>
      <c r="C16" s="103" t="s">
        <v>202</v>
      </c>
      <c r="D16" t="s">
        <v>76</v>
      </c>
      <c r="E16" s="2">
        <v>4</v>
      </c>
      <c r="F16" s="2">
        <f t="shared" si="4"/>
        <v>4</v>
      </c>
      <c r="G16" s="2">
        <v>4</v>
      </c>
      <c r="H16" s="2">
        <v>4</v>
      </c>
      <c r="I16" s="2">
        <v>3</v>
      </c>
      <c r="J16" s="2">
        <v>3</v>
      </c>
      <c r="K16" s="2">
        <v>2</v>
      </c>
      <c r="L16" s="2">
        <v>1</v>
      </c>
      <c r="AC16" s="2" t="str">
        <f t="shared" ref="AC16:AD34" si="5">IF(OR(AC$14="",$E16=""),"",AB16)</f>
        <v/>
      </c>
      <c r="AD16" s="2" t="str">
        <f t="shared" si="5"/>
        <v/>
      </c>
    </row>
    <row r="17" spans="1:30">
      <c r="A17" s="103" t="s">
        <v>205</v>
      </c>
      <c r="B17" s="2">
        <v>5</v>
      </c>
      <c r="C17" s="103" t="s">
        <v>98</v>
      </c>
      <c r="D17" t="s">
        <v>76</v>
      </c>
      <c r="E17" s="2">
        <v>1</v>
      </c>
      <c r="F17" s="2">
        <f t="shared" si="4"/>
        <v>1</v>
      </c>
      <c r="G17" s="2">
        <v>1</v>
      </c>
      <c r="H17" s="2">
        <v>1</v>
      </c>
      <c r="I17" s="2">
        <v>1</v>
      </c>
      <c r="J17" s="2">
        <v>1</v>
      </c>
      <c r="K17" s="2">
        <v>1</v>
      </c>
      <c r="L17" s="2">
        <v>1</v>
      </c>
      <c r="AC17" s="2" t="str">
        <f t="shared" si="5"/>
        <v/>
      </c>
      <c r="AD17" s="2" t="str">
        <f t="shared" si="5"/>
        <v/>
      </c>
    </row>
    <row r="18" spans="1:30">
      <c r="A18" s="114" t="s">
        <v>240</v>
      </c>
      <c r="B18" s="2">
        <v>11</v>
      </c>
      <c r="C18" s="103" t="s">
        <v>148</v>
      </c>
      <c r="D18" t="s">
        <v>76</v>
      </c>
      <c r="E18" s="2">
        <v>2</v>
      </c>
      <c r="F18" s="2">
        <f t="shared" si="4"/>
        <v>2</v>
      </c>
      <c r="G18" s="2">
        <v>2</v>
      </c>
      <c r="H18" s="2">
        <v>2</v>
      </c>
      <c r="I18" s="2">
        <v>1</v>
      </c>
      <c r="J18" s="2">
        <v>1</v>
      </c>
      <c r="K18" s="2">
        <v>1</v>
      </c>
      <c r="L18" s="104" t="s">
        <v>273</v>
      </c>
      <c r="AC18" s="2" t="str">
        <f t="shared" si="5"/>
        <v/>
      </c>
      <c r="AD18" s="2" t="str">
        <f t="shared" si="5"/>
        <v/>
      </c>
    </row>
    <row r="19" spans="1:30">
      <c r="A19" s="115" t="s">
        <v>241</v>
      </c>
      <c r="B19" s="2">
        <v>11</v>
      </c>
      <c r="C19" s="103" t="s">
        <v>148</v>
      </c>
      <c r="D19" t="s">
        <v>75</v>
      </c>
      <c r="E19" s="2">
        <v>0.2</v>
      </c>
      <c r="F19" s="2">
        <f t="shared" si="4"/>
        <v>0.2</v>
      </c>
      <c r="G19" s="2">
        <v>0</v>
      </c>
      <c r="AC19" s="2" t="str">
        <f t="shared" si="5"/>
        <v/>
      </c>
      <c r="AD19" s="2" t="str">
        <f t="shared" si="5"/>
        <v/>
      </c>
    </row>
    <row r="20" spans="1:30">
      <c r="A20" s="115" t="s">
        <v>242</v>
      </c>
      <c r="B20" s="2">
        <v>11</v>
      </c>
      <c r="C20" s="103" t="s">
        <v>148</v>
      </c>
      <c r="D20" t="s">
        <v>75</v>
      </c>
      <c r="E20" s="2">
        <v>0.2</v>
      </c>
      <c r="F20" s="2">
        <f t="shared" si="4"/>
        <v>0.2</v>
      </c>
      <c r="G20" s="2">
        <v>0</v>
      </c>
      <c r="AC20" s="2" t="str">
        <f t="shared" si="5"/>
        <v/>
      </c>
      <c r="AD20" s="2" t="str">
        <f t="shared" si="5"/>
        <v/>
      </c>
    </row>
    <row r="21" spans="1:30">
      <c r="A21" s="115" t="s">
        <v>243</v>
      </c>
      <c r="B21" s="2">
        <v>11</v>
      </c>
      <c r="C21" s="103" t="s">
        <v>148</v>
      </c>
      <c r="D21" t="s">
        <v>75</v>
      </c>
      <c r="E21" s="2">
        <v>0.2</v>
      </c>
      <c r="F21" s="2">
        <f t="shared" si="4"/>
        <v>0.2</v>
      </c>
      <c r="G21" s="2">
        <v>0</v>
      </c>
      <c r="AC21" s="2" t="str">
        <f t="shared" si="5"/>
        <v/>
      </c>
      <c r="AD21" s="2" t="str">
        <f t="shared" si="5"/>
        <v/>
      </c>
    </row>
    <row r="22" spans="1:30">
      <c r="A22" s="115" t="s">
        <v>244</v>
      </c>
      <c r="B22" s="2">
        <v>11</v>
      </c>
      <c r="C22" s="103" t="s">
        <v>271</v>
      </c>
      <c r="D22" t="s">
        <v>75</v>
      </c>
      <c r="E22" s="2">
        <v>1.3</v>
      </c>
      <c r="F22" s="2">
        <f t="shared" si="4"/>
        <v>1.3</v>
      </c>
      <c r="G22" s="2">
        <v>0</v>
      </c>
      <c r="AC22" s="2" t="str">
        <f t="shared" si="5"/>
        <v/>
      </c>
      <c r="AD22" s="2" t="str">
        <f t="shared" si="5"/>
        <v/>
      </c>
    </row>
    <row r="23" spans="1:30">
      <c r="A23" s="115" t="s">
        <v>245</v>
      </c>
      <c r="B23" s="2">
        <v>11</v>
      </c>
      <c r="C23" s="103" t="s">
        <v>98</v>
      </c>
      <c r="D23" t="s">
        <v>76</v>
      </c>
      <c r="E23" s="2">
        <v>1</v>
      </c>
      <c r="F23" s="2">
        <f t="shared" si="4"/>
        <v>1</v>
      </c>
      <c r="G23" s="2">
        <v>1</v>
      </c>
      <c r="H23" s="2">
        <v>1</v>
      </c>
      <c r="I23" s="2">
        <v>1</v>
      </c>
      <c r="J23" s="2">
        <v>1</v>
      </c>
      <c r="K23" s="2">
        <v>1</v>
      </c>
      <c r="L23" s="2">
        <v>1</v>
      </c>
      <c r="AC23" s="2" t="str">
        <f t="shared" si="5"/>
        <v/>
      </c>
      <c r="AD23" s="2" t="str">
        <f t="shared" si="5"/>
        <v/>
      </c>
    </row>
    <row r="24" spans="1:30">
      <c r="A24" s="115" t="s">
        <v>246</v>
      </c>
      <c r="B24" s="2">
        <v>11</v>
      </c>
      <c r="C24" s="103" t="s">
        <v>98</v>
      </c>
      <c r="D24" t="str">
        <f t="shared" ref="D24:D37" si="6">IF(A24&lt;&gt;"","Planned","")</f>
        <v>Planned</v>
      </c>
      <c r="E24" s="2">
        <v>0.5</v>
      </c>
      <c r="F24" s="2">
        <f t="shared" si="4"/>
        <v>0.5</v>
      </c>
      <c r="G24" s="2">
        <v>0.5</v>
      </c>
      <c r="H24" s="2">
        <v>0.5</v>
      </c>
      <c r="I24" s="2">
        <v>0.5</v>
      </c>
      <c r="J24" s="2">
        <v>0.5</v>
      </c>
      <c r="K24" s="2">
        <v>0.5</v>
      </c>
      <c r="L24" s="2">
        <v>0.5</v>
      </c>
      <c r="AC24" s="2" t="str">
        <f t="shared" si="5"/>
        <v/>
      </c>
      <c r="AD24" s="2" t="str">
        <f t="shared" si="5"/>
        <v/>
      </c>
    </row>
    <row r="25" spans="1:30">
      <c r="A25" s="115" t="s">
        <v>249</v>
      </c>
      <c r="B25" s="2">
        <v>12</v>
      </c>
      <c r="C25" s="103" t="s">
        <v>98</v>
      </c>
      <c r="D25" t="str">
        <f t="shared" si="6"/>
        <v>Planned</v>
      </c>
      <c r="E25" s="2">
        <v>0.6</v>
      </c>
      <c r="F25" s="2">
        <f t="shared" si="4"/>
        <v>0.6</v>
      </c>
      <c r="G25" s="2">
        <f t="shared" ref="G25:G28" si="7">IF(OR(G$14="",$E25=""),"",F25)</f>
        <v>0.6</v>
      </c>
      <c r="H25" s="2">
        <f t="shared" ref="H25:H28" si="8">IF(OR(H$14="",$E25=""),"",G25)</f>
        <v>0.6</v>
      </c>
      <c r="I25" s="2">
        <f t="shared" ref="I25:I28" si="9">IF(OR(I$14="",$E25=""),"",H25)</f>
        <v>0.6</v>
      </c>
      <c r="J25" s="2">
        <f t="shared" ref="J25:J28" si="10">IF(OR(J$14="",$E25=""),"",I25)</f>
        <v>0.6</v>
      </c>
      <c r="K25" s="2">
        <f t="shared" ref="K25:K28" si="11">IF(OR(K$14="",$E25=""),"",J25)</f>
        <v>0.6</v>
      </c>
      <c r="L25" s="2">
        <f t="shared" ref="L25:L28" si="12">IF(OR(L$14="",$E25=""),"",K25)</f>
        <v>0.6</v>
      </c>
      <c r="AC25" s="2" t="str">
        <f t="shared" si="5"/>
        <v/>
      </c>
      <c r="AD25" s="2" t="str">
        <f t="shared" si="5"/>
        <v/>
      </c>
    </row>
    <row r="26" spans="1:30">
      <c r="A26" s="115" t="s">
        <v>250</v>
      </c>
      <c r="B26" s="2">
        <v>12</v>
      </c>
      <c r="C26" s="103" t="s">
        <v>98</v>
      </c>
      <c r="D26" t="str">
        <f t="shared" si="6"/>
        <v>Planned</v>
      </c>
      <c r="E26" s="2">
        <v>0.6</v>
      </c>
      <c r="F26" s="2">
        <f t="shared" si="4"/>
        <v>0.6</v>
      </c>
      <c r="G26" s="2">
        <f t="shared" si="7"/>
        <v>0.6</v>
      </c>
      <c r="H26" s="2">
        <f t="shared" si="8"/>
        <v>0.6</v>
      </c>
      <c r="I26" s="2">
        <f t="shared" si="9"/>
        <v>0.6</v>
      </c>
      <c r="J26" s="2">
        <f t="shared" si="10"/>
        <v>0.6</v>
      </c>
      <c r="K26" s="2">
        <f t="shared" si="11"/>
        <v>0.6</v>
      </c>
      <c r="L26" s="2">
        <f t="shared" si="12"/>
        <v>0.6</v>
      </c>
      <c r="AC26" s="2" t="str">
        <f t="shared" si="5"/>
        <v/>
      </c>
      <c r="AD26" s="2" t="str">
        <f t="shared" si="5"/>
        <v/>
      </c>
    </row>
    <row r="27" spans="1:30">
      <c r="A27" s="115" t="s">
        <v>251</v>
      </c>
      <c r="B27" s="2">
        <v>12</v>
      </c>
      <c r="C27" s="103" t="s">
        <v>98</v>
      </c>
      <c r="D27" t="str">
        <f t="shared" si="6"/>
        <v>Planned</v>
      </c>
      <c r="E27" s="2">
        <v>0.6</v>
      </c>
      <c r="F27" s="2">
        <f t="shared" si="4"/>
        <v>0.6</v>
      </c>
      <c r="G27" s="2">
        <f t="shared" si="7"/>
        <v>0.6</v>
      </c>
      <c r="H27" s="2">
        <f t="shared" si="8"/>
        <v>0.6</v>
      </c>
      <c r="I27" s="2">
        <f t="shared" si="9"/>
        <v>0.6</v>
      </c>
      <c r="J27" s="2">
        <f t="shared" si="10"/>
        <v>0.6</v>
      </c>
      <c r="K27" s="2">
        <f t="shared" si="11"/>
        <v>0.6</v>
      </c>
      <c r="L27" s="2">
        <f t="shared" si="12"/>
        <v>0.6</v>
      </c>
      <c r="AC27" s="2" t="str">
        <f t="shared" si="5"/>
        <v/>
      </c>
      <c r="AD27" s="2" t="str">
        <f t="shared" si="5"/>
        <v/>
      </c>
    </row>
    <row r="28" spans="1:30">
      <c r="A28" s="115" t="s">
        <v>252</v>
      </c>
      <c r="B28" s="2">
        <v>12</v>
      </c>
      <c r="C28" s="103" t="s">
        <v>98</v>
      </c>
      <c r="D28" t="str">
        <f t="shared" si="6"/>
        <v>Planned</v>
      </c>
      <c r="E28" s="2">
        <v>0.8</v>
      </c>
      <c r="F28" s="2">
        <f t="shared" si="4"/>
        <v>0.8</v>
      </c>
      <c r="G28" s="2">
        <f t="shared" si="7"/>
        <v>0.8</v>
      </c>
      <c r="H28" s="2">
        <f t="shared" si="8"/>
        <v>0.8</v>
      </c>
      <c r="I28" s="2">
        <f t="shared" si="9"/>
        <v>0.8</v>
      </c>
      <c r="J28" s="2">
        <f t="shared" si="10"/>
        <v>0.8</v>
      </c>
      <c r="K28" s="2">
        <f t="shared" si="11"/>
        <v>0.8</v>
      </c>
      <c r="L28" s="2">
        <f t="shared" si="12"/>
        <v>0.8</v>
      </c>
      <c r="AC28" s="2" t="str">
        <f t="shared" si="5"/>
        <v/>
      </c>
      <c r="AD28" s="2" t="str">
        <f t="shared" si="5"/>
        <v/>
      </c>
    </row>
    <row r="29" spans="1:30">
      <c r="A29" s="115" t="s">
        <v>253</v>
      </c>
      <c r="B29" s="2">
        <v>11</v>
      </c>
      <c r="C29" s="103" t="s">
        <v>148</v>
      </c>
      <c r="D29" t="s">
        <v>75</v>
      </c>
      <c r="E29" s="2">
        <v>0.1</v>
      </c>
      <c r="F29" s="2">
        <f t="shared" si="4"/>
        <v>0.1</v>
      </c>
      <c r="G29" s="2">
        <v>0</v>
      </c>
      <c r="AC29" s="2" t="str">
        <f t="shared" si="5"/>
        <v/>
      </c>
      <c r="AD29" s="2" t="str">
        <f t="shared" si="5"/>
        <v/>
      </c>
    </row>
    <row r="30" spans="1:30">
      <c r="A30" s="115" t="s">
        <v>254</v>
      </c>
      <c r="B30" s="2">
        <v>11</v>
      </c>
      <c r="C30" s="103" t="s">
        <v>148</v>
      </c>
      <c r="D30" t="s">
        <v>75</v>
      </c>
      <c r="E30" s="2">
        <v>1</v>
      </c>
      <c r="F30" s="2">
        <f t="shared" si="4"/>
        <v>1</v>
      </c>
      <c r="G30" s="2">
        <v>0</v>
      </c>
      <c r="AC30" s="2" t="str">
        <f t="shared" si="5"/>
        <v/>
      </c>
      <c r="AD30" s="2" t="str">
        <f t="shared" si="5"/>
        <v/>
      </c>
    </row>
    <row r="31" spans="1:30">
      <c r="A31" s="116" t="s">
        <v>266</v>
      </c>
      <c r="B31" s="2">
        <v>11</v>
      </c>
      <c r="C31" s="103" t="s">
        <v>148</v>
      </c>
      <c r="D31" t="str">
        <f t="shared" si="6"/>
        <v>Planned</v>
      </c>
      <c r="E31" s="2">
        <v>0.5</v>
      </c>
      <c r="F31" s="2">
        <f t="shared" si="4"/>
        <v>0.5</v>
      </c>
      <c r="G31" s="2">
        <f t="shared" ref="G31" si="13">IF(OR(G$14="",$E31=""),"",F31)</f>
        <v>0.5</v>
      </c>
      <c r="H31" s="2">
        <f t="shared" ref="H31" si="14">IF(OR(H$14="",$E31=""),"",G31)</f>
        <v>0.5</v>
      </c>
      <c r="I31" s="2">
        <f t="shared" ref="I31" si="15">IF(OR(I$14="",$E31=""),"",H31)</f>
        <v>0.5</v>
      </c>
      <c r="J31" s="2">
        <f t="shared" ref="J31" si="16">IF(OR(J$14="",$E31=""),"",I31)</f>
        <v>0.5</v>
      </c>
      <c r="K31" s="2">
        <f t="shared" ref="K31" si="17">IF(OR(K$14="",$E31=""),"",J31)</f>
        <v>0.5</v>
      </c>
      <c r="L31" s="2">
        <f t="shared" ref="L31" si="18">IF(OR(L$14="",$E31=""),"",K31)</f>
        <v>0.5</v>
      </c>
      <c r="AC31" s="2" t="str">
        <f t="shared" si="5"/>
        <v/>
      </c>
      <c r="AD31" s="2" t="str">
        <f t="shared" si="5"/>
        <v/>
      </c>
    </row>
    <row r="32" spans="1:30">
      <c r="A32" s="115" t="s">
        <v>258</v>
      </c>
      <c r="B32" s="2">
        <v>11</v>
      </c>
      <c r="C32" s="103" t="s">
        <v>98</v>
      </c>
      <c r="D32" t="s">
        <v>76</v>
      </c>
      <c r="E32" s="2">
        <v>0.6</v>
      </c>
      <c r="F32" s="2">
        <f t="shared" si="4"/>
        <v>0.6</v>
      </c>
      <c r="G32" s="2">
        <v>0.3</v>
      </c>
      <c r="H32" s="2">
        <v>0.3</v>
      </c>
      <c r="I32" s="2">
        <v>0.3</v>
      </c>
      <c r="J32" s="2">
        <v>0.3</v>
      </c>
      <c r="K32" s="2">
        <v>0.3</v>
      </c>
      <c r="L32" s="2">
        <v>0.3</v>
      </c>
      <c r="AC32" s="2" t="str">
        <f t="shared" si="5"/>
        <v/>
      </c>
      <c r="AD32" s="2" t="str">
        <f t="shared" si="5"/>
        <v/>
      </c>
    </row>
    <row r="33" spans="1:30">
      <c r="A33" s="115" t="s">
        <v>260</v>
      </c>
      <c r="B33" s="2">
        <v>11</v>
      </c>
      <c r="C33" s="103" t="s">
        <v>134</v>
      </c>
      <c r="D33" t="str">
        <f t="shared" si="6"/>
        <v>Planned</v>
      </c>
      <c r="E33" s="2">
        <v>0.8</v>
      </c>
      <c r="F33" s="2">
        <f t="shared" si="4"/>
        <v>0.8</v>
      </c>
      <c r="G33" s="2">
        <f t="shared" ref="G33:G37" si="19">IF(OR(G$14="",$E33=""),"",F33)</f>
        <v>0.8</v>
      </c>
      <c r="H33" s="2">
        <f t="shared" ref="H33:H37" si="20">IF(OR(H$14="",$E33=""),"",G33)</f>
        <v>0.8</v>
      </c>
      <c r="I33" s="2">
        <f t="shared" ref="I33:I37" si="21">IF(OR(I$14="",$E33=""),"",H33)</f>
        <v>0.8</v>
      </c>
      <c r="J33" s="2">
        <f t="shared" ref="J33:J37" si="22">IF(OR(J$14="",$E33=""),"",I33)</f>
        <v>0.8</v>
      </c>
      <c r="K33" s="2">
        <f t="shared" ref="K33:K37" si="23">IF(OR(K$14="",$E33=""),"",J33)</f>
        <v>0.8</v>
      </c>
      <c r="L33" s="2">
        <f t="shared" ref="L33:L37" si="24">IF(OR(L$14="",$E33=""),"",K33)</f>
        <v>0.8</v>
      </c>
      <c r="AC33" s="2" t="str">
        <f t="shared" si="5"/>
        <v/>
      </c>
      <c r="AD33" s="2" t="str">
        <f t="shared" si="5"/>
        <v/>
      </c>
    </row>
    <row r="34" spans="1:30">
      <c r="A34" s="115" t="s">
        <v>261</v>
      </c>
      <c r="B34" s="2">
        <v>11</v>
      </c>
      <c r="C34" s="103" t="s">
        <v>98</v>
      </c>
      <c r="D34" t="str">
        <f t="shared" si="6"/>
        <v>Planned</v>
      </c>
      <c r="E34" s="2">
        <v>0.6</v>
      </c>
      <c r="F34" s="2">
        <f t="shared" si="4"/>
        <v>0.6</v>
      </c>
      <c r="G34" s="2">
        <f t="shared" si="19"/>
        <v>0.6</v>
      </c>
      <c r="H34" s="2">
        <f t="shared" si="20"/>
        <v>0.6</v>
      </c>
      <c r="I34" s="2">
        <f t="shared" si="21"/>
        <v>0.6</v>
      </c>
      <c r="J34" s="2">
        <f t="shared" si="22"/>
        <v>0.6</v>
      </c>
      <c r="K34" s="2">
        <f t="shared" si="23"/>
        <v>0.6</v>
      </c>
      <c r="L34" s="2">
        <f t="shared" si="24"/>
        <v>0.6</v>
      </c>
      <c r="AC34" s="2" t="str">
        <f t="shared" si="5"/>
        <v/>
      </c>
      <c r="AD34" s="2" t="str">
        <f t="shared" si="5"/>
        <v/>
      </c>
    </row>
    <row r="35" spans="1:30">
      <c r="A35" s="116" t="s">
        <v>274</v>
      </c>
      <c r="B35" s="2">
        <v>11</v>
      </c>
      <c r="C35" s="103" t="s">
        <v>98</v>
      </c>
      <c r="D35" t="str">
        <f t="shared" si="6"/>
        <v>Planned</v>
      </c>
      <c r="E35" s="2">
        <v>0.7</v>
      </c>
      <c r="F35" s="2">
        <f t="shared" si="4"/>
        <v>0.7</v>
      </c>
      <c r="G35" s="2">
        <f t="shared" si="19"/>
        <v>0.7</v>
      </c>
      <c r="H35" s="2">
        <f t="shared" si="20"/>
        <v>0.7</v>
      </c>
      <c r="I35" s="2">
        <f t="shared" si="21"/>
        <v>0.7</v>
      </c>
      <c r="J35" s="2">
        <f t="shared" si="22"/>
        <v>0.7</v>
      </c>
      <c r="K35" s="2">
        <f t="shared" si="23"/>
        <v>0.7</v>
      </c>
      <c r="L35" s="2">
        <f t="shared" si="24"/>
        <v>0.7</v>
      </c>
      <c r="AC35" s="2" t="str">
        <f t="shared" ref="AC35:AD54" si="25">IF(OR(AC$14="",$E35=""),"",AB35)</f>
        <v/>
      </c>
      <c r="AD35" s="2" t="str">
        <f t="shared" si="25"/>
        <v/>
      </c>
    </row>
    <row r="36" spans="1:30">
      <c r="A36" s="115" t="s">
        <v>263</v>
      </c>
      <c r="B36" s="2">
        <v>11</v>
      </c>
      <c r="C36" s="103" t="s">
        <v>98</v>
      </c>
      <c r="D36" t="str">
        <f t="shared" si="6"/>
        <v>Planned</v>
      </c>
      <c r="E36" s="2">
        <v>0.7</v>
      </c>
      <c r="F36" s="2">
        <f t="shared" si="4"/>
        <v>0.7</v>
      </c>
      <c r="G36" s="2">
        <f t="shared" si="19"/>
        <v>0.7</v>
      </c>
      <c r="H36" s="2">
        <f t="shared" si="20"/>
        <v>0.7</v>
      </c>
      <c r="I36" s="2">
        <f t="shared" si="21"/>
        <v>0.7</v>
      </c>
      <c r="J36" s="2">
        <f t="shared" si="22"/>
        <v>0.7</v>
      </c>
      <c r="K36" s="2">
        <f t="shared" si="23"/>
        <v>0.7</v>
      </c>
      <c r="L36" s="2">
        <f t="shared" si="24"/>
        <v>0.7</v>
      </c>
      <c r="AC36" s="2" t="str">
        <f t="shared" si="25"/>
        <v/>
      </c>
      <c r="AD36" s="2" t="str">
        <f t="shared" si="25"/>
        <v/>
      </c>
    </row>
    <row r="37" spans="1:30">
      <c r="A37" s="116" t="s">
        <v>275</v>
      </c>
      <c r="B37" s="2">
        <v>11</v>
      </c>
      <c r="C37" s="103" t="s">
        <v>98</v>
      </c>
      <c r="D37" t="str">
        <f t="shared" si="6"/>
        <v>Planned</v>
      </c>
      <c r="E37" s="2">
        <v>0.7</v>
      </c>
      <c r="F37" s="2">
        <f t="shared" si="4"/>
        <v>0.7</v>
      </c>
      <c r="G37" s="2">
        <f t="shared" si="19"/>
        <v>0.7</v>
      </c>
      <c r="H37" s="2">
        <f t="shared" si="20"/>
        <v>0.7</v>
      </c>
      <c r="I37" s="2">
        <f t="shared" si="21"/>
        <v>0.7</v>
      </c>
      <c r="J37" s="2">
        <f t="shared" si="22"/>
        <v>0.7</v>
      </c>
      <c r="K37" s="2">
        <f t="shared" si="23"/>
        <v>0.7</v>
      </c>
      <c r="L37" s="2">
        <f t="shared" si="24"/>
        <v>0.7</v>
      </c>
      <c r="AC37" s="2" t="str">
        <f t="shared" si="25"/>
        <v/>
      </c>
      <c r="AD37" s="2" t="str">
        <f t="shared" si="25"/>
        <v/>
      </c>
    </row>
    <row r="38" spans="1:30">
      <c r="D38" t="str">
        <f t="shared" ref="D38:D58" si="26">IF(A38&lt;&gt;"","Planned","")</f>
        <v/>
      </c>
      <c r="F38" s="2" t="str">
        <f t="shared" si="4"/>
        <v/>
      </c>
      <c r="AC38" s="2" t="str">
        <f t="shared" si="25"/>
        <v/>
      </c>
      <c r="AD38" s="2" t="str">
        <f t="shared" si="25"/>
        <v/>
      </c>
    </row>
    <row r="39" spans="1:30">
      <c r="D39" t="str">
        <f t="shared" si="26"/>
        <v/>
      </c>
      <c r="F39" s="2" t="str">
        <f t="shared" si="4"/>
        <v/>
      </c>
      <c r="AC39" s="2" t="str">
        <f t="shared" si="25"/>
        <v/>
      </c>
      <c r="AD39" s="2" t="str">
        <f t="shared" si="25"/>
        <v/>
      </c>
    </row>
    <row r="40" spans="1:30">
      <c r="D40" t="str">
        <f t="shared" si="26"/>
        <v/>
      </c>
      <c r="F40" s="2" t="str">
        <f t="shared" si="4"/>
        <v/>
      </c>
      <c r="AC40" s="2" t="str">
        <f t="shared" si="25"/>
        <v/>
      </c>
      <c r="AD40" s="2" t="str">
        <f t="shared" si="25"/>
        <v/>
      </c>
    </row>
    <row r="41" spans="1:30">
      <c r="D41" t="str">
        <f t="shared" si="26"/>
        <v/>
      </c>
      <c r="F41" s="2" t="str">
        <f t="shared" si="4"/>
        <v/>
      </c>
      <c r="AC41" s="2" t="str">
        <f t="shared" si="25"/>
        <v/>
      </c>
      <c r="AD41" s="2" t="str">
        <f t="shared" si="25"/>
        <v/>
      </c>
    </row>
    <row r="42" spans="1:30">
      <c r="D42" t="str">
        <f t="shared" si="26"/>
        <v/>
      </c>
      <c r="F42" s="2" t="str">
        <f t="shared" si="4"/>
        <v/>
      </c>
      <c r="AC42" s="2" t="str">
        <f t="shared" si="25"/>
        <v/>
      </c>
      <c r="AD42" s="2" t="str">
        <f t="shared" si="25"/>
        <v/>
      </c>
    </row>
    <row r="43" spans="1:30">
      <c r="D43" t="str">
        <f t="shared" si="26"/>
        <v/>
      </c>
      <c r="F43" s="2" t="str">
        <f t="shared" si="4"/>
        <v/>
      </c>
      <c r="AC43" s="2" t="str">
        <f t="shared" si="25"/>
        <v/>
      </c>
      <c r="AD43" s="2" t="str">
        <f t="shared" si="25"/>
        <v/>
      </c>
    </row>
    <row r="44" spans="1:30">
      <c r="D44" t="str">
        <f t="shared" si="26"/>
        <v/>
      </c>
      <c r="F44" s="2" t="str">
        <f t="shared" si="4"/>
        <v/>
      </c>
      <c r="AC44" s="2" t="str">
        <f t="shared" si="25"/>
        <v/>
      </c>
      <c r="AD44" s="2" t="str">
        <f t="shared" si="25"/>
        <v/>
      </c>
    </row>
    <row r="45" spans="1:30">
      <c r="D45" t="str">
        <f t="shared" si="26"/>
        <v/>
      </c>
      <c r="F45" s="2" t="str">
        <f t="shared" si="4"/>
        <v/>
      </c>
      <c r="AC45" s="2" t="str">
        <f t="shared" si="25"/>
        <v/>
      </c>
      <c r="AD45" s="2" t="str">
        <f t="shared" si="25"/>
        <v/>
      </c>
    </row>
    <row r="46" spans="1:30">
      <c r="D46" t="str">
        <f t="shared" si="26"/>
        <v/>
      </c>
      <c r="F46" s="2" t="str">
        <f t="shared" si="4"/>
        <v/>
      </c>
      <c r="AC46" s="2" t="str">
        <f t="shared" si="25"/>
        <v/>
      </c>
      <c r="AD46" s="2" t="str">
        <f t="shared" si="25"/>
        <v/>
      </c>
    </row>
    <row r="47" spans="1:30">
      <c r="D47" t="str">
        <f t="shared" si="26"/>
        <v/>
      </c>
      <c r="F47" s="2" t="str">
        <f t="shared" si="4"/>
        <v/>
      </c>
      <c r="AC47" s="2" t="str">
        <f t="shared" si="25"/>
        <v/>
      </c>
      <c r="AD47" s="2" t="str">
        <f t="shared" si="25"/>
        <v/>
      </c>
    </row>
    <row r="48" spans="1:30">
      <c r="D48" t="str">
        <f t="shared" si="26"/>
        <v/>
      </c>
      <c r="F48" s="2" t="str">
        <f t="shared" si="4"/>
        <v/>
      </c>
      <c r="AC48" s="2" t="str">
        <f t="shared" si="25"/>
        <v/>
      </c>
      <c r="AD48" s="2" t="str">
        <f t="shared" si="25"/>
        <v/>
      </c>
    </row>
    <row r="49" spans="4:30">
      <c r="D49" t="str">
        <f t="shared" si="26"/>
        <v/>
      </c>
      <c r="F49" s="2" t="str">
        <f t="shared" si="4"/>
        <v/>
      </c>
      <c r="AC49" s="2" t="str">
        <f t="shared" si="25"/>
        <v/>
      </c>
      <c r="AD49" s="2" t="str">
        <f t="shared" si="25"/>
        <v/>
      </c>
    </row>
    <row r="50" spans="4:30">
      <c r="D50" t="str">
        <f t="shared" si="26"/>
        <v/>
      </c>
      <c r="F50" s="2" t="str">
        <f t="shared" si="4"/>
        <v/>
      </c>
      <c r="AC50" s="2" t="str">
        <f t="shared" si="25"/>
        <v/>
      </c>
      <c r="AD50" s="2" t="str">
        <f t="shared" si="25"/>
        <v/>
      </c>
    </row>
    <row r="51" spans="4:30">
      <c r="D51" t="str">
        <f t="shared" si="26"/>
        <v/>
      </c>
      <c r="F51" s="2" t="str">
        <f t="shared" si="4"/>
        <v/>
      </c>
      <c r="AC51" s="2" t="str">
        <f t="shared" si="25"/>
        <v/>
      </c>
      <c r="AD51" s="2" t="str">
        <f t="shared" si="25"/>
        <v/>
      </c>
    </row>
    <row r="52" spans="4:30">
      <c r="D52" t="str">
        <f t="shared" si="26"/>
        <v/>
      </c>
      <c r="F52" s="2" t="str">
        <f t="shared" si="4"/>
        <v/>
      </c>
      <c r="AC52" s="2" t="str">
        <f t="shared" si="25"/>
        <v/>
      </c>
      <c r="AD52" s="2" t="str">
        <f t="shared" si="25"/>
        <v/>
      </c>
    </row>
    <row r="53" spans="4:30">
      <c r="D53" t="str">
        <f t="shared" si="26"/>
        <v/>
      </c>
      <c r="F53" s="2" t="str">
        <f t="shared" si="4"/>
        <v/>
      </c>
      <c r="AC53" s="2" t="str">
        <f t="shared" si="25"/>
        <v/>
      </c>
      <c r="AD53" s="2" t="str">
        <f t="shared" si="25"/>
        <v/>
      </c>
    </row>
    <row r="54" spans="4:30">
      <c r="D54" t="str">
        <f t="shared" si="26"/>
        <v/>
      </c>
      <c r="F54" s="2" t="str">
        <f t="shared" si="4"/>
        <v/>
      </c>
      <c r="AC54" s="2" t="str">
        <f t="shared" si="25"/>
        <v/>
      </c>
      <c r="AD54" s="2" t="str">
        <f t="shared" si="25"/>
        <v/>
      </c>
    </row>
    <row r="55" spans="4:30">
      <c r="D55" t="str">
        <f t="shared" si="26"/>
        <v/>
      </c>
      <c r="F55" s="2" t="str">
        <f t="shared" si="4"/>
        <v/>
      </c>
      <c r="AC55" s="2" t="str">
        <f t="shared" ref="AC55:AD58" si="27">IF(OR(AC$14="",$E55=""),"",AB55)</f>
        <v/>
      </c>
      <c r="AD55" s="2" t="str">
        <f t="shared" si="27"/>
        <v/>
      </c>
    </row>
    <row r="56" spans="4:30">
      <c r="D56" t="str">
        <f t="shared" si="26"/>
        <v/>
      </c>
      <c r="F56" s="2" t="str">
        <f t="shared" si="4"/>
        <v/>
      </c>
      <c r="AC56" s="2" t="str">
        <f t="shared" si="27"/>
        <v/>
      </c>
      <c r="AD56" s="2" t="str">
        <f t="shared" si="27"/>
        <v/>
      </c>
    </row>
    <row r="57" spans="4:30">
      <c r="D57" t="str">
        <f t="shared" si="26"/>
        <v/>
      </c>
      <c r="F57" s="2" t="str">
        <f t="shared" si="4"/>
        <v/>
      </c>
      <c r="G57" s="2" t="str">
        <f t="shared" si="4"/>
        <v/>
      </c>
      <c r="H57" s="2" t="str">
        <f t="shared" si="4"/>
        <v/>
      </c>
      <c r="I57" s="2" t="str">
        <f t="shared" si="4"/>
        <v/>
      </c>
      <c r="J57" s="2" t="str">
        <f t="shared" si="4"/>
        <v/>
      </c>
      <c r="K57" s="2" t="str">
        <f t="shared" si="4"/>
        <v/>
      </c>
      <c r="L57" s="2" t="str">
        <f t="shared" si="4"/>
        <v/>
      </c>
      <c r="M57" s="2" t="str">
        <f t="shared" si="4"/>
        <v/>
      </c>
      <c r="N57" s="2" t="str">
        <f t="shared" si="4"/>
        <v/>
      </c>
      <c r="O57" s="2" t="str">
        <f t="shared" si="4"/>
        <v/>
      </c>
      <c r="P57" s="2" t="str">
        <f t="shared" si="4"/>
        <v/>
      </c>
      <c r="Q57" s="2" t="str">
        <f t="shared" si="4"/>
        <v/>
      </c>
      <c r="R57" s="2" t="str">
        <f t="shared" si="4"/>
        <v/>
      </c>
      <c r="S57" s="2" t="str">
        <f t="shared" si="4"/>
        <v/>
      </c>
      <c r="T57" s="2" t="str">
        <f t="shared" si="4"/>
        <v/>
      </c>
      <c r="U57" s="2" t="str">
        <f t="shared" si="4"/>
        <v/>
      </c>
      <c r="V57" s="2" t="str">
        <f t="shared" ref="V57:AB58" si="28">IF(OR(V$14="",$E57=""),"",U57)</f>
        <v/>
      </c>
      <c r="W57" s="2" t="str">
        <f t="shared" si="28"/>
        <v/>
      </c>
      <c r="X57" s="2" t="str">
        <f t="shared" si="28"/>
        <v/>
      </c>
      <c r="Y57" s="2" t="str">
        <f t="shared" si="28"/>
        <v/>
      </c>
      <c r="Z57" s="2" t="str">
        <f t="shared" si="28"/>
        <v/>
      </c>
      <c r="AA57" s="2" t="str">
        <f t="shared" si="28"/>
        <v/>
      </c>
      <c r="AB57" s="2" t="str">
        <f t="shared" si="28"/>
        <v/>
      </c>
      <c r="AC57" s="2" t="str">
        <f t="shared" si="27"/>
        <v/>
      </c>
      <c r="AD57" s="2" t="str">
        <f t="shared" si="27"/>
        <v/>
      </c>
    </row>
    <row r="58" spans="4:30">
      <c r="D58" t="str">
        <f t="shared" si="26"/>
        <v/>
      </c>
      <c r="F58" s="2" t="str">
        <f t="shared" si="4"/>
        <v/>
      </c>
      <c r="G58" s="2" t="str">
        <f t="shared" si="4"/>
        <v/>
      </c>
      <c r="H58" s="2" t="str">
        <f t="shared" si="4"/>
        <v/>
      </c>
      <c r="I58" s="2" t="str">
        <f t="shared" si="4"/>
        <v/>
      </c>
      <c r="J58" s="2" t="str">
        <f t="shared" si="4"/>
        <v/>
      </c>
      <c r="K58" s="2" t="str">
        <f t="shared" si="4"/>
        <v/>
      </c>
      <c r="L58" s="2" t="str">
        <f t="shared" si="4"/>
        <v/>
      </c>
      <c r="M58" s="2" t="str">
        <f t="shared" si="4"/>
        <v/>
      </c>
      <c r="N58" s="2" t="str">
        <f t="shared" si="4"/>
        <v/>
      </c>
      <c r="O58" s="2" t="str">
        <f t="shared" si="4"/>
        <v/>
      </c>
      <c r="P58" s="2" t="str">
        <f t="shared" si="4"/>
        <v/>
      </c>
      <c r="Q58" s="2" t="str">
        <f t="shared" si="4"/>
        <v/>
      </c>
      <c r="R58" s="2" t="str">
        <f t="shared" si="4"/>
        <v/>
      </c>
      <c r="S58" s="2" t="str">
        <f t="shared" si="4"/>
        <v/>
      </c>
      <c r="T58" s="2" t="str">
        <f t="shared" si="4"/>
        <v/>
      </c>
      <c r="U58" s="2" t="str">
        <f t="shared" si="4"/>
        <v/>
      </c>
      <c r="V58" s="2" t="str">
        <f t="shared" si="28"/>
        <v/>
      </c>
      <c r="W58" s="2" t="str">
        <f t="shared" si="28"/>
        <v/>
      </c>
      <c r="X58" s="2" t="str">
        <f t="shared" si="28"/>
        <v/>
      </c>
      <c r="Y58" s="2" t="str">
        <f t="shared" si="28"/>
        <v/>
      </c>
      <c r="Z58" s="2" t="str">
        <f t="shared" si="28"/>
        <v/>
      </c>
      <c r="AA58" s="2" t="str">
        <f t="shared" si="28"/>
        <v/>
      </c>
      <c r="AB58" s="2" t="str">
        <f t="shared" si="28"/>
        <v/>
      </c>
      <c r="AC58" s="2" t="str">
        <f t="shared" si="27"/>
        <v/>
      </c>
      <c r="AD58" s="2" t="str">
        <f t="shared" si="27"/>
        <v/>
      </c>
    </row>
    <row r="63" spans="4:30">
      <c r="D63" t="str">
        <f>IF(A63&lt;&gt;"","Planned","")</f>
        <v/>
      </c>
    </row>
  </sheetData>
  <conditionalFormatting sqref="J15:AD18 A19:AD57">
    <cfRule type="expression" dxfId="49" priority="27" stopIfTrue="1">
      <formula>$D15="Done"</formula>
    </cfRule>
    <cfRule type="expression" dxfId="48" priority="28" stopIfTrue="1">
      <formula>$D15="Ongoing"</formula>
    </cfRule>
  </conditionalFormatting>
  <conditionalFormatting sqref="A15:I18">
    <cfRule type="expression" dxfId="47" priority="25" stopIfTrue="1">
      <formula>$D15="Done"</formula>
    </cfRule>
    <cfRule type="expression" dxfId="46" priority="26" stopIfTrue="1">
      <formula>$D15="Ongoing"</formula>
    </cfRule>
  </conditionalFormatting>
  <conditionalFormatting sqref="A15:D17">
    <cfRule type="expression" dxfId="45" priority="23" stopIfTrue="1">
      <formula>$D15="Done"</formula>
    </cfRule>
    <cfRule type="expression" dxfId="44" priority="24" stopIfTrue="1">
      <formula>$D15="Ongoing"</formula>
    </cfRule>
  </conditionalFormatting>
  <conditionalFormatting sqref="A15:A17">
    <cfRule type="expression" dxfId="43" priority="21" stopIfTrue="1">
      <formula>$D15="Done"</formula>
    </cfRule>
    <cfRule type="expression" dxfId="42" priority="22" stopIfTrue="1">
      <formula>$D15="Ongoing"</formula>
    </cfRule>
  </conditionalFormatting>
  <conditionalFormatting sqref="A15:A16">
    <cfRule type="expression" dxfId="41" priority="19" stopIfTrue="1">
      <formula>$D15="Done"</formula>
    </cfRule>
    <cfRule type="expression" dxfId="40" priority="20" stopIfTrue="1">
      <formula>$D15="Ongoing"</formula>
    </cfRule>
  </conditionalFormatting>
  <conditionalFormatting sqref="A15:A16">
    <cfRule type="expression" dxfId="39" priority="17" stopIfTrue="1">
      <formula>$D15="Done"</formula>
    </cfRule>
    <cfRule type="expression" dxfId="38" priority="18" stopIfTrue="1">
      <formula>$D15="Ongoing"</formula>
    </cfRule>
  </conditionalFormatting>
  <conditionalFormatting sqref="A15">
    <cfRule type="expression" dxfId="37" priority="15" stopIfTrue="1">
      <formula>$D15="Done"</formula>
    </cfRule>
    <cfRule type="expression" dxfId="36" priority="16" stopIfTrue="1">
      <formula>$D15="Ongoing"</formula>
    </cfRule>
  </conditionalFormatting>
  <conditionalFormatting sqref="A15">
    <cfRule type="expression" dxfId="35" priority="13" stopIfTrue="1">
      <formula>$D15="Done"</formula>
    </cfRule>
    <cfRule type="expression" dxfId="34" priority="14" stopIfTrue="1">
      <formula>$D15="Ongoing"</formula>
    </cfRule>
  </conditionalFormatting>
  <conditionalFormatting sqref="A15">
    <cfRule type="expression" dxfId="33" priority="11" stopIfTrue="1">
      <formula>$D15="Done"</formula>
    </cfRule>
    <cfRule type="expression" dxfId="32" priority="12" stopIfTrue="1">
      <formula>$D15="Ongoing"</formula>
    </cfRule>
  </conditionalFormatting>
  <conditionalFormatting sqref="A15">
    <cfRule type="expression" dxfId="31" priority="9" stopIfTrue="1">
      <formula>$D15="Done"</formula>
    </cfRule>
    <cfRule type="expression" dxfId="30" priority="10" stopIfTrue="1">
      <formula>$D15="Ongoing"</formula>
    </cfRule>
  </conditionalFormatting>
  <conditionalFormatting sqref="A17">
    <cfRule type="expression" dxfId="29" priority="7" stopIfTrue="1">
      <formula>$D17="Done"</formula>
    </cfRule>
    <cfRule type="expression" dxfId="28" priority="8" stopIfTrue="1">
      <formula>$D17="Ongoing"</formula>
    </cfRule>
  </conditionalFormatting>
  <conditionalFormatting sqref="A18:D24">
    <cfRule type="expression" dxfId="27" priority="5" stopIfTrue="1">
      <formula>$D18="Done"</formula>
    </cfRule>
    <cfRule type="expression" dxfId="26" priority="6" stopIfTrue="1">
      <formula>$D18="Ongoing"</formula>
    </cfRule>
  </conditionalFormatting>
  <conditionalFormatting sqref="A25:D31">
    <cfRule type="expression" dxfId="25" priority="3" stopIfTrue="1">
      <formula>$D25="Done"</formula>
    </cfRule>
    <cfRule type="expression" dxfId="24" priority="4" stopIfTrue="1">
      <formula>$D25="Ongoing"</formula>
    </cfRule>
  </conditionalFormatting>
  <dataValidations count="1">
    <dataValidation type="list" allowBlank="1" showInputMessage="1" sqref="D3:D8 D15:D63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AD70"/>
  <sheetViews>
    <sheetView workbookViewId="0">
      <pane ySplit="14" topLeftCell="A15" activePane="bottomLeft" state="frozen"/>
      <selection pane="bottomLeft" activeCell="L15" sqref="L15:L34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15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7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17.799999999999997</v>
      </c>
      <c r="F10" s="17">
        <f ca="1">IF(AND(SUM(OFFSET(F14,1,0,TaskRows,1))=0),0,SUM(OFFSET(F14,1,0,TaskRows,1)))</f>
        <v>17.799999999999997</v>
      </c>
      <c r="G10" s="17">
        <f t="shared" ref="G10:AD10" ca="1" si="0">IF(AND(SUM(OFFSET(G14,1,0,TaskRows,1))=0),"",SUM(OFFSET(G14,1,0,TaskRows,1)))</f>
        <v>13.599999999999998</v>
      </c>
      <c r="H10" s="17">
        <f t="shared" ca="1" si="0"/>
        <v>13.399999999999997</v>
      </c>
      <c r="I10" s="17">
        <f t="shared" ca="1" si="0"/>
        <v>12.899999999999997</v>
      </c>
      <c r="J10" s="17">
        <f t="shared" ca="1" si="0"/>
        <v>12.899999999999997</v>
      </c>
      <c r="K10" s="17">
        <f t="shared" ca="1" si="0"/>
        <v>11.899999999999997</v>
      </c>
      <c r="L10" s="17">
        <f t="shared" ca="1" si="0"/>
        <v>11.399999999999997</v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IF(COUNTA(A15:A248)=0,1,COUNTA(A15:A248))</f>
        <v>20</v>
      </c>
      <c r="C11" t="s">
        <v>23</v>
      </c>
      <c r="D11" s="2">
        <f ca="1">IF(COUNTIF(F10:AD10,"&gt;0")=0,1,COUNTIF(F10:AD10,"&gt;0"))</f>
        <v>7</v>
      </c>
      <c r="F11" s="2">
        <f ca="1">IF(F14="","",$E10-$E10/($B9-1)*(F14-1))</f>
        <v>17.799999999999997</v>
      </c>
      <c r="G11" s="2">
        <f t="shared" ref="G11:AD11" ca="1" si="1">IF(G14="","",TotalEffort-TotalEffort/(ImplementationDays)*(G14-1))</f>
        <v>15.257142857142854</v>
      </c>
      <c r="H11" s="2">
        <f t="shared" ca="1" si="1"/>
        <v>12.714285714285712</v>
      </c>
      <c r="I11" s="2">
        <f t="shared" ca="1" si="1"/>
        <v>10.171428571428571</v>
      </c>
      <c r="J11" s="2">
        <f t="shared" ca="1" si="1"/>
        <v>7.6285714285714281</v>
      </c>
      <c r="K11" s="2">
        <f t="shared" ca="1" si="1"/>
        <v>5.0857142857142854</v>
      </c>
      <c r="L11" s="2">
        <f t="shared" ca="1" si="1"/>
        <v>2.5428571428571445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14.499999999999996</v>
      </c>
      <c r="G12" s="2">
        <f t="shared" ca="1" si="2"/>
        <v>13.999999999999996</v>
      </c>
      <c r="H12" s="2">
        <f t="shared" ca="1" si="2"/>
        <v>13.499999999999996</v>
      </c>
      <c r="I12" s="2">
        <f t="shared" ca="1" si="2"/>
        <v>12.999999999999996</v>
      </c>
      <c r="J12" s="2">
        <f t="shared" ca="1" si="2"/>
        <v>12.499999999999996</v>
      </c>
      <c r="K12" s="2">
        <f t="shared" ca="1" si="2"/>
        <v>11.999999999999996</v>
      </c>
      <c r="L12" s="2">
        <f t="shared" ca="1" si="2"/>
        <v>11.499999999999996</v>
      </c>
      <c r="M12" s="2">
        <f t="shared" ca="1" si="2"/>
        <v>10.999999999999996</v>
      </c>
      <c r="N12" s="2">
        <f t="shared" ca="1" si="2"/>
        <v>10.499999999999996</v>
      </c>
      <c r="O12" s="2">
        <f t="shared" ca="1" si="2"/>
        <v>9.9999999999999964</v>
      </c>
      <c r="P12" s="2">
        <f t="shared" ca="1" si="2"/>
        <v>9.4999999999999964</v>
      </c>
      <c r="Q12" s="2">
        <f t="shared" ca="1" si="2"/>
        <v>8.9999999999999964</v>
      </c>
      <c r="R12" s="2">
        <f t="shared" ca="1" si="2"/>
        <v>8.4999999999999964</v>
      </c>
      <c r="S12" s="2">
        <f t="shared" ca="1" si="2"/>
        <v>7.9999999999999973</v>
      </c>
      <c r="T12" s="2">
        <f t="shared" ca="1" si="2"/>
        <v>7.4999999999999973</v>
      </c>
      <c r="U12" s="2">
        <f t="shared" ca="1" si="2"/>
        <v>6.9999999999999973</v>
      </c>
      <c r="V12" s="2">
        <f t="shared" ca="1" si="2"/>
        <v>6.4999999999999982</v>
      </c>
      <c r="W12" s="2">
        <f t="shared" ca="1" si="2"/>
        <v>5.9999999999999982</v>
      </c>
      <c r="X12" s="2">
        <f t="shared" ca="1" si="2"/>
        <v>5.4999999999999982</v>
      </c>
      <c r="Y12" s="2">
        <f t="shared" ca="1" si="2"/>
        <v>4.9999999999999982</v>
      </c>
      <c r="Z12" s="2">
        <f t="shared" ca="1" si="2"/>
        <v>4.4999999999999982</v>
      </c>
      <c r="AA12" s="2">
        <f t="shared" ca="1" si="2"/>
        <v>3.9999999999999982</v>
      </c>
      <c r="AB12" s="2">
        <f t="shared" ca="1" si="2"/>
        <v>3.4999999999999982</v>
      </c>
      <c r="AC12" s="2">
        <f t="shared" ca="1" si="2"/>
        <v>2.9999999999999982</v>
      </c>
      <c r="AD12" s="2">
        <f t="shared" ca="1" si="2"/>
        <v>2.4999999999999982</v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15" t="s">
        <v>245</v>
      </c>
      <c r="B15" s="2">
        <v>11</v>
      </c>
      <c r="C15" s="103" t="s">
        <v>98</v>
      </c>
      <c r="D15" t="s">
        <v>76</v>
      </c>
      <c r="E15" s="2">
        <v>1</v>
      </c>
      <c r="F15" s="2">
        <f t="shared" ref="F15:U65" si="4">IF(OR(F$14="",$E15=""),"",E15)</f>
        <v>1</v>
      </c>
      <c r="G15" s="2">
        <v>1</v>
      </c>
      <c r="H15" s="2">
        <v>1</v>
      </c>
      <c r="I15" s="2">
        <v>1</v>
      </c>
      <c r="J15" s="2">
        <v>1</v>
      </c>
      <c r="K15" s="2">
        <v>1</v>
      </c>
      <c r="L15" s="2">
        <v>1</v>
      </c>
    </row>
    <row r="16" spans="1:30">
      <c r="A16" s="115" t="s">
        <v>246</v>
      </c>
      <c r="B16" s="2">
        <v>11</v>
      </c>
      <c r="C16" s="103" t="s">
        <v>98</v>
      </c>
      <c r="D16" t="s">
        <v>76</v>
      </c>
      <c r="E16" s="2">
        <v>0.5</v>
      </c>
      <c r="F16" s="2">
        <f t="shared" si="4"/>
        <v>0.5</v>
      </c>
      <c r="G16" s="2">
        <v>0.5</v>
      </c>
      <c r="H16" s="2">
        <v>0.5</v>
      </c>
      <c r="I16" s="2">
        <v>0.5</v>
      </c>
      <c r="J16" s="2">
        <v>0.5</v>
      </c>
      <c r="K16" s="2">
        <v>0.5</v>
      </c>
      <c r="L16" s="2">
        <v>0.5</v>
      </c>
      <c r="AC16" s="2" t="str">
        <f t="shared" ref="AC16:AD41" si="5">IF(OR(AC$14="",$E16=""),"",AB16)</f>
        <v/>
      </c>
      <c r="AD16" s="2" t="str">
        <f t="shared" si="5"/>
        <v/>
      </c>
    </row>
    <row r="17" spans="1:30">
      <c r="A17" s="115" t="s">
        <v>249</v>
      </c>
      <c r="B17" s="2">
        <v>12</v>
      </c>
      <c r="C17" s="103" t="s">
        <v>98</v>
      </c>
      <c r="D17" t="s">
        <v>75</v>
      </c>
      <c r="E17" s="2">
        <v>0.6</v>
      </c>
      <c r="F17" s="2">
        <f t="shared" si="4"/>
        <v>0.6</v>
      </c>
      <c r="G17" s="2">
        <v>0.2</v>
      </c>
      <c r="H17" s="2">
        <v>0</v>
      </c>
      <c r="I17" s="104" t="s">
        <v>74</v>
      </c>
      <c r="J17" s="104" t="s">
        <v>74</v>
      </c>
      <c r="K17" s="104" t="s">
        <v>74</v>
      </c>
      <c r="L17" s="104" t="s">
        <v>74</v>
      </c>
      <c r="AC17" s="2" t="str">
        <f t="shared" si="5"/>
        <v/>
      </c>
      <c r="AD17" s="2" t="str">
        <f t="shared" si="5"/>
        <v/>
      </c>
    </row>
    <row r="18" spans="1:30">
      <c r="A18" s="115" t="s">
        <v>250</v>
      </c>
      <c r="B18" s="2">
        <v>12</v>
      </c>
      <c r="C18" s="103" t="s">
        <v>98</v>
      </c>
      <c r="D18" t="s">
        <v>76</v>
      </c>
      <c r="E18" s="2">
        <v>0.6</v>
      </c>
      <c r="F18" s="2">
        <f t="shared" si="4"/>
        <v>0.6</v>
      </c>
      <c r="G18" s="2">
        <v>0.1</v>
      </c>
      <c r="H18" s="2">
        <v>0.1</v>
      </c>
      <c r="I18" s="2">
        <v>0.1</v>
      </c>
      <c r="J18" s="2">
        <v>0.1</v>
      </c>
      <c r="K18" s="2">
        <v>0.1</v>
      </c>
      <c r="L18" s="2">
        <v>0.1</v>
      </c>
      <c r="AC18" s="2" t="str">
        <f t="shared" si="5"/>
        <v/>
      </c>
      <c r="AD18" s="2" t="str">
        <f t="shared" si="5"/>
        <v/>
      </c>
    </row>
    <row r="19" spans="1:30">
      <c r="A19" s="115" t="s">
        <v>251</v>
      </c>
      <c r="B19" s="2">
        <v>12</v>
      </c>
      <c r="C19" s="103" t="s">
        <v>98</v>
      </c>
      <c r="D19" t="s">
        <v>76</v>
      </c>
      <c r="E19" s="2">
        <v>0.6</v>
      </c>
      <c r="F19" s="2">
        <f t="shared" si="4"/>
        <v>0.6</v>
      </c>
      <c r="G19" s="2">
        <v>0.1</v>
      </c>
      <c r="H19" s="2">
        <v>0.1</v>
      </c>
      <c r="I19" s="2">
        <v>0.1</v>
      </c>
      <c r="J19" s="2">
        <v>0.1</v>
      </c>
      <c r="K19" s="2">
        <v>0.1</v>
      </c>
      <c r="L19" s="2">
        <v>0.1</v>
      </c>
      <c r="AC19" s="2" t="str">
        <f t="shared" si="5"/>
        <v/>
      </c>
      <c r="AD19" s="2" t="str">
        <f t="shared" si="5"/>
        <v/>
      </c>
    </row>
    <row r="20" spans="1:30">
      <c r="A20" s="115" t="s">
        <v>252</v>
      </c>
      <c r="B20" s="2">
        <v>12</v>
      </c>
      <c r="C20" s="103" t="s">
        <v>98</v>
      </c>
      <c r="D20" t="s">
        <v>76</v>
      </c>
      <c r="E20" s="2">
        <v>0.8</v>
      </c>
      <c r="F20" s="2">
        <f t="shared" si="4"/>
        <v>0.8</v>
      </c>
      <c r="G20" s="2">
        <v>0.5</v>
      </c>
      <c r="H20" s="2">
        <v>0.5</v>
      </c>
      <c r="I20" s="2">
        <v>0.5</v>
      </c>
      <c r="J20" s="2">
        <v>0.5</v>
      </c>
      <c r="K20" s="2">
        <v>0.5</v>
      </c>
      <c r="L20" s="2">
        <v>0.5</v>
      </c>
      <c r="AC20" s="2" t="str">
        <f t="shared" si="5"/>
        <v/>
      </c>
      <c r="AD20" s="2" t="str">
        <f t="shared" si="5"/>
        <v/>
      </c>
    </row>
    <row r="21" spans="1:30">
      <c r="A21" s="116" t="s">
        <v>266</v>
      </c>
      <c r="B21" s="2">
        <v>11</v>
      </c>
      <c r="C21" s="103" t="s">
        <v>276</v>
      </c>
      <c r="D21" t="str">
        <f t="shared" ref="D21:D34" si="6">IF(A21&lt;&gt;"","Planned","")</f>
        <v>Planned</v>
      </c>
      <c r="E21" s="2">
        <v>0.5</v>
      </c>
      <c r="F21" s="2">
        <f t="shared" si="4"/>
        <v>0.5</v>
      </c>
      <c r="G21" s="2">
        <f t="shared" ref="G21" si="7">IF(OR(G$14="",$E21=""),"",F21)</f>
        <v>0.5</v>
      </c>
      <c r="H21" s="2">
        <f t="shared" ref="H21" si="8">IF(OR(H$14="",$E21=""),"",G21)</f>
        <v>0.5</v>
      </c>
      <c r="I21" s="2">
        <f t="shared" ref="I21" si="9">IF(OR(I$14="",$E21=""),"",H21)</f>
        <v>0.5</v>
      </c>
      <c r="J21" s="2">
        <f t="shared" ref="J21" si="10">IF(OR(J$14="",$E21=""),"",I21)</f>
        <v>0.5</v>
      </c>
      <c r="K21" s="2">
        <f t="shared" ref="K21" si="11">IF(OR(K$14="",$E21=""),"",J21)</f>
        <v>0.5</v>
      </c>
      <c r="L21" s="2">
        <f t="shared" ref="L21" si="12">IF(OR(L$14="",$E21=""),"",K21)</f>
        <v>0.5</v>
      </c>
      <c r="AC21" s="2" t="str">
        <f t="shared" si="5"/>
        <v/>
      </c>
      <c r="AD21" s="2" t="str">
        <f t="shared" si="5"/>
        <v/>
      </c>
    </row>
    <row r="22" spans="1:30">
      <c r="A22" s="116" t="s">
        <v>277</v>
      </c>
      <c r="B22" s="2">
        <v>11</v>
      </c>
      <c r="C22" s="103" t="s">
        <v>98</v>
      </c>
      <c r="D22" t="s">
        <v>75</v>
      </c>
      <c r="E22" s="2">
        <v>0.3</v>
      </c>
      <c r="F22" s="2">
        <f t="shared" si="4"/>
        <v>0.3</v>
      </c>
      <c r="G22" s="2">
        <v>0</v>
      </c>
      <c r="AC22" s="2" t="str">
        <f t="shared" si="5"/>
        <v/>
      </c>
      <c r="AD22" s="2" t="str">
        <f t="shared" si="5"/>
        <v/>
      </c>
    </row>
    <row r="23" spans="1:30">
      <c r="A23" s="116" t="s">
        <v>278</v>
      </c>
      <c r="B23" s="2">
        <v>11</v>
      </c>
      <c r="C23" s="103" t="s">
        <v>134</v>
      </c>
      <c r="D23" t="s">
        <v>76</v>
      </c>
      <c r="E23" s="2">
        <v>2</v>
      </c>
      <c r="F23" s="2">
        <f t="shared" si="4"/>
        <v>2</v>
      </c>
      <c r="G23" s="2">
        <v>1</v>
      </c>
      <c r="H23" s="2">
        <v>1</v>
      </c>
      <c r="I23" s="2">
        <v>0.5</v>
      </c>
      <c r="J23" s="2">
        <v>0.5</v>
      </c>
      <c r="K23" s="2">
        <v>0.5</v>
      </c>
      <c r="L23" s="2">
        <v>0.5</v>
      </c>
      <c r="AC23" s="2" t="str">
        <f t="shared" si="5"/>
        <v/>
      </c>
      <c r="AD23" s="2" t="str">
        <f t="shared" si="5"/>
        <v/>
      </c>
    </row>
    <row r="24" spans="1:30">
      <c r="A24" s="116" t="s">
        <v>279</v>
      </c>
      <c r="B24" s="2">
        <v>11</v>
      </c>
      <c r="C24" s="103" t="s">
        <v>148</v>
      </c>
      <c r="D24" t="s">
        <v>76</v>
      </c>
      <c r="E24" s="2">
        <v>2</v>
      </c>
      <c r="F24" s="2">
        <f t="shared" si="4"/>
        <v>2</v>
      </c>
      <c r="G24" s="2">
        <v>1.5</v>
      </c>
      <c r="H24" s="2">
        <v>1.5</v>
      </c>
      <c r="I24" s="2">
        <v>1.5</v>
      </c>
      <c r="J24" s="2">
        <v>1.5</v>
      </c>
      <c r="K24" s="2">
        <v>1.5</v>
      </c>
      <c r="L24" s="2">
        <v>1.5</v>
      </c>
      <c r="AC24" s="2" t="str">
        <f t="shared" si="5"/>
        <v/>
      </c>
      <c r="AD24" s="2" t="str">
        <f t="shared" si="5"/>
        <v/>
      </c>
    </row>
    <row r="25" spans="1:30">
      <c r="A25" s="116" t="s">
        <v>280</v>
      </c>
      <c r="B25" s="2">
        <v>11</v>
      </c>
      <c r="C25" s="103" t="s">
        <v>98</v>
      </c>
      <c r="D25" t="s">
        <v>19</v>
      </c>
      <c r="E25" s="2">
        <v>1</v>
      </c>
      <c r="F25" s="2">
        <f t="shared" si="4"/>
        <v>1</v>
      </c>
      <c r="G25" s="2">
        <v>1</v>
      </c>
      <c r="H25" s="2">
        <v>1</v>
      </c>
      <c r="I25" s="2">
        <v>1</v>
      </c>
      <c r="J25" s="2">
        <v>1</v>
      </c>
      <c r="K25" s="2">
        <v>1</v>
      </c>
      <c r="L25" s="2">
        <v>1</v>
      </c>
      <c r="AC25" s="2" t="str">
        <f t="shared" si="5"/>
        <v/>
      </c>
      <c r="AD25" s="2" t="str">
        <f t="shared" si="5"/>
        <v/>
      </c>
    </row>
    <row r="26" spans="1:30">
      <c r="A26" s="116" t="s">
        <v>281</v>
      </c>
      <c r="B26" s="2">
        <v>11</v>
      </c>
      <c r="C26" s="103" t="s">
        <v>148</v>
      </c>
      <c r="D26" t="s">
        <v>76</v>
      </c>
      <c r="E26" s="2">
        <v>2</v>
      </c>
      <c r="F26" s="2">
        <f t="shared" si="4"/>
        <v>2</v>
      </c>
      <c r="G26" s="2">
        <f t="shared" ref="G26:G32" si="13">IF(OR(G$14="",$E26=""),"",F26)</f>
        <v>2</v>
      </c>
      <c r="H26" s="2">
        <f t="shared" ref="H26:H34" si="14">IF(OR(H$14="",$E26=""),"",G26)</f>
        <v>2</v>
      </c>
      <c r="I26" s="2">
        <f t="shared" ref="I26:I34" si="15">IF(OR(I$14="",$E26=""),"",H26)</f>
        <v>2</v>
      </c>
      <c r="J26" s="2">
        <f t="shared" ref="J26:J34" si="16">IF(OR(J$14="",$E26=""),"",I26)</f>
        <v>2</v>
      </c>
      <c r="K26" s="2">
        <v>1</v>
      </c>
      <c r="L26" s="2">
        <v>0.5</v>
      </c>
      <c r="AC26" s="2" t="str">
        <f t="shared" si="5"/>
        <v/>
      </c>
      <c r="AD26" s="2" t="str">
        <f t="shared" si="5"/>
        <v/>
      </c>
    </row>
    <row r="27" spans="1:30">
      <c r="A27" s="116" t="s">
        <v>282</v>
      </c>
      <c r="B27" s="2">
        <v>11</v>
      </c>
      <c r="C27" s="103" t="s">
        <v>98</v>
      </c>
      <c r="D27" t="s">
        <v>19</v>
      </c>
      <c r="E27" s="2">
        <v>2</v>
      </c>
      <c r="F27" s="2">
        <f t="shared" si="4"/>
        <v>2</v>
      </c>
      <c r="G27" s="2">
        <f t="shared" si="13"/>
        <v>2</v>
      </c>
      <c r="H27" s="2">
        <f t="shared" si="14"/>
        <v>2</v>
      </c>
      <c r="I27" s="2">
        <f t="shared" si="15"/>
        <v>2</v>
      </c>
      <c r="J27" s="2">
        <f t="shared" si="16"/>
        <v>2</v>
      </c>
      <c r="K27" s="2">
        <f t="shared" ref="K27:K34" si="17">IF(OR(K$14="",$E27=""),"",J27)</f>
        <v>2</v>
      </c>
      <c r="L27" s="2">
        <f t="shared" ref="L27:L34" si="18">IF(OR(L$14="",$E27=""),"",K27)</f>
        <v>2</v>
      </c>
      <c r="AC27" s="2" t="str">
        <f t="shared" si="5"/>
        <v/>
      </c>
      <c r="AD27" s="2" t="str">
        <f t="shared" si="5"/>
        <v/>
      </c>
    </row>
    <row r="28" spans="1:30">
      <c r="A28" s="116" t="s">
        <v>283</v>
      </c>
      <c r="B28" s="2">
        <v>11</v>
      </c>
      <c r="C28" s="103" t="s">
        <v>284</v>
      </c>
      <c r="D28" t="s">
        <v>19</v>
      </c>
      <c r="E28" s="2">
        <v>0.2</v>
      </c>
      <c r="F28" s="2">
        <f t="shared" si="4"/>
        <v>0.2</v>
      </c>
      <c r="G28" s="2">
        <f t="shared" si="13"/>
        <v>0.2</v>
      </c>
      <c r="H28" s="2">
        <f t="shared" si="14"/>
        <v>0.2</v>
      </c>
      <c r="I28" s="2">
        <f t="shared" si="15"/>
        <v>0.2</v>
      </c>
      <c r="J28" s="2">
        <f t="shared" si="16"/>
        <v>0.2</v>
      </c>
      <c r="K28" s="2">
        <f t="shared" si="17"/>
        <v>0.2</v>
      </c>
      <c r="L28" s="2">
        <f t="shared" si="18"/>
        <v>0.2</v>
      </c>
      <c r="AC28" s="2" t="str">
        <f t="shared" si="5"/>
        <v/>
      </c>
      <c r="AD28" s="2" t="str">
        <f t="shared" si="5"/>
        <v/>
      </c>
    </row>
    <row r="29" spans="1:30">
      <c r="A29" s="116" t="s">
        <v>285</v>
      </c>
      <c r="B29" s="2">
        <v>11</v>
      </c>
      <c r="C29" s="103" t="s">
        <v>284</v>
      </c>
      <c r="D29" t="s">
        <v>19</v>
      </c>
      <c r="E29" s="2">
        <v>0.2</v>
      </c>
      <c r="F29" s="2">
        <f t="shared" si="4"/>
        <v>0.2</v>
      </c>
      <c r="G29" s="2">
        <f t="shared" si="13"/>
        <v>0.2</v>
      </c>
      <c r="H29" s="2">
        <f t="shared" si="14"/>
        <v>0.2</v>
      </c>
      <c r="I29" s="2">
        <f t="shared" si="15"/>
        <v>0.2</v>
      </c>
      <c r="J29" s="2">
        <f t="shared" si="16"/>
        <v>0.2</v>
      </c>
      <c r="K29" s="2">
        <f t="shared" si="17"/>
        <v>0.2</v>
      </c>
      <c r="L29" s="2">
        <f t="shared" si="18"/>
        <v>0.2</v>
      </c>
      <c r="AC29" s="2" t="str">
        <f t="shared" si="5"/>
        <v/>
      </c>
      <c r="AD29" s="2" t="str">
        <f t="shared" si="5"/>
        <v/>
      </c>
    </row>
    <row r="30" spans="1:30">
      <c r="A30" s="115" t="s">
        <v>260</v>
      </c>
      <c r="B30" s="2">
        <v>11</v>
      </c>
      <c r="C30" s="103" t="s">
        <v>134</v>
      </c>
      <c r="D30" t="s">
        <v>76</v>
      </c>
      <c r="E30" s="2">
        <v>0.8</v>
      </c>
      <c r="F30" s="2">
        <f t="shared" si="4"/>
        <v>0.8</v>
      </c>
      <c r="G30" s="2">
        <f t="shared" si="13"/>
        <v>0.8</v>
      </c>
      <c r="H30" s="2">
        <f t="shared" si="14"/>
        <v>0.8</v>
      </c>
      <c r="I30" s="2">
        <f t="shared" si="15"/>
        <v>0.8</v>
      </c>
      <c r="J30" s="2">
        <f t="shared" si="16"/>
        <v>0.8</v>
      </c>
      <c r="K30" s="2">
        <f t="shared" si="17"/>
        <v>0.8</v>
      </c>
      <c r="L30" s="2">
        <f t="shared" si="18"/>
        <v>0.8</v>
      </c>
      <c r="AC30" s="2" t="str">
        <f t="shared" si="5"/>
        <v/>
      </c>
      <c r="AD30" s="2" t="str">
        <f t="shared" si="5"/>
        <v/>
      </c>
    </row>
    <row r="31" spans="1:30">
      <c r="A31" s="115" t="s">
        <v>261</v>
      </c>
      <c r="B31" s="2">
        <v>11</v>
      </c>
      <c r="C31" s="103" t="s">
        <v>98</v>
      </c>
      <c r="D31" t="str">
        <f t="shared" si="6"/>
        <v>Planned</v>
      </c>
      <c r="E31" s="2">
        <v>0.6</v>
      </c>
      <c r="F31" s="2">
        <f t="shared" si="4"/>
        <v>0.6</v>
      </c>
      <c r="G31" s="2">
        <f t="shared" si="13"/>
        <v>0.6</v>
      </c>
      <c r="H31" s="2">
        <f t="shared" si="14"/>
        <v>0.6</v>
      </c>
      <c r="I31" s="2">
        <f t="shared" si="15"/>
        <v>0.6</v>
      </c>
      <c r="J31" s="2">
        <f t="shared" si="16"/>
        <v>0.6</v>
      </c>
      <c r="K31" s="2">
        <f t="shared" si="17"/>
        <v>0.6</v>
      </c>
      <c r="L31" s="2">
        <f t="shared" si="18"/>
        <v>0.6</v>
      </c>
      <c r="AC31" s="2" t="str">
        <f t="shared" si="5"/>
        <v/>
      </c>
      <c r="AD31" s="2" t="str">
        <f t="shared" si="5"/>
        <v/>
      </c>
    </row>
    <row r="32" spans="1:30">
      <c r="A32" s="116" t="s">
        <v>274</v>
      </c>
      <c r="B32" s="2">
        <v>11</v>
      </c>
      <c r="C32" s="103" t="s">
        <v>98</v>
      </c>
      <c r="D32" t="str">
        <f t="shared" si="6"/>
        <v>Planned</v>
      </c>
      <c r="E32" s="2">
        <v>0.7</v>
      </c>
      <c r="F32" s="2">
        <f t="shared" si="4"/>
        <v>0.7</v>
      </c>
      <c r="G32" s="2">
        <f t="shared" si="13"/>
        <v>0.7</v>
      </c>
      <c r="H32" s="2">
        <f t="shared" si="14"/>
        <v>0.7</v>
      </c>
      <c r="I32" s="2">
        <f t="shared" si="15"/>
        <v>0.7</v>
      </c>
      <c r="J32" s="2">
        <f t="shared" si="16"/>
        <v>0.7</v>
      </c>
      <c r="K32" s="2">
        <f t="shared" si="17"/>
        <v>0.7</v>
      </c>
      <c r="L32" s="2">
        <f t="shared" si="18"/>
        <v>0.7</v>
      </c>
      <c r="AC32" s="2" t="str">
        <f t="shared" si="5"/>
        <v/>
      </c>
      <c r="AD32" s="2" t="str">
        <f t="shared" si="5"/>
        <v/>
      </c>
    </row>
    <row r="33" spans="1:30">
      <c r="A33" s="116" t="s">
        <v>286</v>
      </c>
      <c r="B33" s="2">
        <v>11</v>
      </c>
      <c r="C33" s="103" t="s">
        <v>98</v>
      </c>
      <c r="D33" t="s">
        <v>75</v>
      </c>
      <c r="E33" s="2">
        <v>0.7</v>
      </c>
      <c r="F33" s="2">
        <f t="shared" si="4"/>
        <v>0.7</v>
      </c>
      <c r="G33" s="2">
        <v>0</v>
      </c>
      <c r="H33" s="2">
        <f t="shared" si="14"/>
        <v>0</v>
      </c>
      <c r="I33" s="2">
        <f t="shared" si="15"/>
        <v>0</v>
      </c>
      <c r="J33" s="2">
        <f t="shared" si="16"/>
        <v>0</v>
      </c>
      <c r="K33" s="2">
        <f t="shared" si="17"/>
        <v>0</v>
      </c>
      <c r="L33" s="2">
        <f t="shared" si="18"/>
        <v>0</v>
      </c>
      <c r="AC33" s="2" t="str">
        <f t="shared" si="5"/>
        <v/>
      </c>
      <c r="AD33" s="2" t="str">
        <f t="shared" si="5"/>
        <v/>
      </c>
    </row>
    <row r="34" spans="1:30">
      <c r="A34" s="116" t="s">
        <v>275</v>
      </c>
      <c r="B34" s="2">
        <v>11</v>
      </c>
      <c r="C34" s="103" t="s">
        <v>98</v>
      </c>
      <c r="D34" t="str">
        <f t="shared" si="6"/>
        <v>Planned</v>
      </c>
      <c r="E34" s="2">
        <v>0.7</v>
      </c>
      <c r="F34" s="2">
        <f t="shared" si="4"/>
        <v>0.7</v>
      </c>
      <c r="G34" s="2">
        <f t="shared" ref="G34" si="19">IF(OR(G$14="",$E34=""),"",F34)</f>
        <v>0.7</v>
      </c>
      <c r="H34" s="2">
        <f t="shared" si="14"/>
        <v>0.7</v>
      </c>
      <c r="I34" s="2">
        <f t="shared" si="15"/>
        <v>0.7</v>
      </c>
      <c r="J34" s="2">
        <f t="shared" si="16"/>
        <v>0.7</v>
      </c>
      <c r="K34" s="2">
        <f t="shared" si="17"/>
        <v>0.7</v>
      </c>
      <c r="L34" s="2">
        <f t="shared" si="18"/>
        <v>0.7</v>
      </c>
      <c r="AC34" s="2" t="str">
        <f t="shared" si="5"/>
        <v/>
      </c>
      <c r="AD34" s="2" t="str">
        <f t="shared" si="5"/>
        <v/>
      </c>
    </row>
    <row r="35" spans="1:30">
      <c r="D35" t="str">
        <f t="shared" ref="D35:D65" si="20">IF(A35&lt;&gt;"","Planned","")</f>
        <v/>
      </c>
      <c r="F35" s="2" t="str">
        <f t="shared" si="4"/>
        <v/>
      </c>
      <c r="AC35" s="2" t="str">
        <f t="shared" si="5"/>
        <v/>
      </c>
      <c r="AD35" s="2" t="str">
        <f t="shared" si="5"/>
        <v/>
      </c>
    </row>
    <row r="36" spans="1:30">
      <c r="D36" t="str">
        <f t="shared" si="20"/>
        <v/>
      </c>
      <c r="F36" s="2" t="str">
        <f t="shared" si="4"/>
        <v/>
      </c>
      <c r="AC36" s="2" t="str">
        <f t="shared" si="5"/>
        <v/>
      </c>
      <c r="AD36" s="2" t="str">
        <f t="shared" si="5"/>
        <v/>
      </c>
    </row>
    <row r="37" spans="1:30">
      <c r="D37" t="str">
        <f t="shared" si="20"/>
        <v/>
      </c>
      <c r="F37" s="2" t="str">
        <f t="shared" si="4"/>
        <v/>
      </c>
      <c r="AC37" s="2" t="str">
        <f t="shared" si="5"/>
        <v/>
      </c>
      <c r="AD37" s="2" t="str">
        <f t="shared" si="5"/>
        <v/>
      </c>
    </row>
    <row r="38" spans="1:30">
      <c r="D38" t="str">
        <f t="shared" si="20"/>
        <v/>
      </c>
      <c r="F38" s="2" t="str">
        <f t="shared" si="4"/>
        <v/>
      </c>
      <c r="AC38" s="2" t="str">
        <f t="shared" si="5"/>
        <v/>
      </c>
      <c r="AD38" s="2" t="str">
        <f t="shared" si="5"/>
        <v/>
      </c>
    </row>
    <row r="39" spans="1:30">
      <c r="D39" t="str">
        <f t="shared" si="20"/>
        <v/>
      </c>
      <c r="F39" s="2" t="str">
        <f t="shared" si="4"/>
        <v/>
      </c>
      <c r="AC39" s="2" t="str">
        <f t="shared" si="5"/>
        <v/>
      </c>
      <c r="AD39" s="2" t="str">
        <f t="shared" si="5"/>
        <v/>
      </c>
    </row>
    <row r="40" spans="1:30">
      <c r="D40" t="str">
        <f t="shared" si="20"/>
        <v/>
      </c>
      <c r="F40" s="2" t="str">
        <f t="shared" si="4"/>
        <v/>
      </c>
      <c r="AC40" s="2" t="str">
        <f t="shared" si="5"/>
        <v/>
      </c>
      <c r="AD40" s="2" t="str">
        <f t="shared" si="5"/>
        <v/>
      </c>
    </row>
    <row r="41" spans="1:30">
      <c r="D41" t="str">
        <f t="shared" si="20"/>
        <v/>
      </c>
      <c r="F41" s="2" t="str">
        <f t="shared" si="4"/>
        <v/>
      </c>
      <c r="AC41" s="2" t="str">
        <f t="shared" si="5"/>
        <v/>
      </c>
      <c r="AD41" s="2" t="str">
        <f t="shared" si="5"/>
        <v/>
      </c>
    </row>
    <row r="42" spans="1:30">
      <c r="D42" t="str">
        <f t="shared" si="20"/>
        <v/>
      </c>
      <c r="F42" s="2" t="str">
        <f t="shared" si="4"/>
        <v/>
      </c>
      <c r="AC42" s="2" t="str">
        <f t="shared" ref="AC42:AD61" si="21">IF(OR(AC$14="",$E42=""),"",AB42)</f>
        <v/>
      </c>
      <c r="AD42" s="2" t="str">
        <f t="shared" si="21"/>
        <v/>
      </c>
    </row>
    <row r="43" spans="1:30">
      <c r="D43" t="str">
        <f t="shared" si="20"/>
        <v/>
      </c>
      <c r="F43" s="2" t="str">
        <f t="shared" si="4"/>
        <v/>
      </c>
      <c r="AC43" s="2" t="str">
        <f t="shared" si="21"/>
        <v/>
      </c>
      <c r="AD43" s="2" t="str">
        <f t="shared" si="21"/>
        <v/>
      </c>
    </row>
    <row r="44" spans="1:30">
      <c r="D44" t="str">
        <f t="shared" si="20"/>
        <v/>
      </c>
      <c r="F44" s="2" t="str">
        <f t="shared" si="4"/>
        <v/>
      </c>
      <c r="AC44" s="2" t="str">
        <f t="shared" si="21"/>
        <v/>
      </c>
      <c r="AD44" s="2" t="str">
        <f t="shared" si="21"/>
        <v/>
      </c>
    </row>
    <row r="45" spans="1:30">
      <c r="D45" t="str">
        <f t="shared" si="20"/>
        <v/>
      </c>
      <c r="F45" s="2" t="str">
        <f t="shared" si="4"/>
        <v/>
      </c>
      <c r="AC45" s="2" t="str">
        <f t="shared" si="21"/>
        <v/>
      </c>
      <c r="AD45" s="2" t="str">
        <f t="shared" si="21"/>
        <v/>
      </c>
    </row>
    <row r="46" spans="1:30">
      <c r="D46" t="str">
        <f t="shared" si="20"/>
        <v/>
      </c>
      <c r="F46" s="2" t="str">
        <f t="shared" si="4"/>
        <v/>
      </c>
      <c r="AC46" s="2" t="str">
        <f t="shared" si="21"/>
        <v/>
      </c>
      <c r="AD46" s="2" t="str">
        <f t="shared" si="21"/>
        <v/>
      </c>
    </row>
    <row r="47" spans="1:30">
      <c r="D47" t="str">
        <f t="shared" si="20"/>
        <v/>
      </c>
      <c r="F47" s="2" t="str">
        <f t="shared" si="4"/>
        <v/>
      </c>
      <c r="AC47" s="2" t="str">
        <f t="shared" si="21"/>
        <v/>
      </c>
      <c r="AD47" s="2" t="str">
        <f t="shared" si="21"/>
        <v/>
      </c>
    </row>
    <row r="48" spans="1:30">
      <c r="D48" t="str">
        <f t="shared" si="20"/>
        <v/>
      </c>
      <c r="F48" s="2" t="str">
        <f t="shared" si="4"/>
        <v/>
      </c>
      <c r="AC48" s="2" t="str">
        <f t="shared" si="21"/>
        <v/>
      </c>
      <c r="AD48" s="2" t="str">
        <f t="shared" si="21"/>
        <v/>
      </c>
    </row>
    <row r="49" spans="4:30">
      <c r="D49" t="str">
        <f t="shared" si="20"/>
        <v/>
      </c>
      <c r="F49" s="2" t="str">
        <f t="shared" si="4"/>
        <v/>
      </c>
      <c r="AC49" s="2" t="str">
        <f t="shared" si="21"/>
        <v/>
      </c>
      <c r="AD49" s="2" t="str">
        <f t="shared" si="21"/>
        <v/>
      </c>
    </row>
    <row r="50" spans="4:30">
      <c r="D50" t="str">
        <f t="shared" si="20"/>
        <v/>
      </c>
      <c r="F50" s="2" t="str">
        <f t="shared" si="4"/>
        <v/>
      </c>
      <c r="AC50" s="2" t="str">
        <f t="shared" si="21"/>
        <v/>
      </c>
      <c r="AD50" s="2" t="str">
        <f t="shared" si="21"/>
        <v/>
      </c>
    </row>
    <row r="51" spans="4:30">
      <c r="D51" t="str">
        <f t="shared" si="20"/>
        <v/>
      </c>
      <c r="F51" s="2" t="str">
        <f t="shared" si="4"/>
        <v/>
      </c>
      <c r="AC51" s="2" t="str">
        <f t="shared" si="21"/>
        <v/>
      </c>
      <c r="AD51" s="2" t="str">
        <f t="shared" si="21"/>
        <v/>
      </c>
    </row>
    <row r="52" spans="4:30">
      <c r="D52" t="str">
        <f t="shared" si="20"/>
        <v/>
      </c>
      <c r="F52" s="2" t="str">
        <f t="shared" si="4"/>
        <v/>
      </c>
      <c r="AC52" s="2" t="str">
        <f t="shared" si="21"/>
        <v/>
      </c>
      <c r="AD52" s="2" t="str">
        <f t="shared" si="21"/>
        <v/>
      </c>
    </row>
    <row r="53" spans="4:30">
      <c r="D53" t="str">
        <f t="shared" si="20"/>
        <v/>
      </c>
      <c r="F53" s="2" t="str">
        <f t="shared" si="4"/>
        <v/>
      </c>
      <c r="AC53" s="2" t="str">
        <f t="shared" si="21"/>
        <v/>
      </c>
      <c r="AD53" s="2" t="str">
        <f t="shared" si="21"/>
        <v/>
      </c>
    </row>
    <row r="54" spans="4:30">
      <c r="D54" t="str">
        <f t="shared" si="20"/>
        <v/>
      </c>
      <c r="F54" s="2" t="str">
        <f t="shared" si="4"/>
        <v/>
      </c>
      <c r="AC54" s="2" t="str">
        <f t="shared" si="21"/>
        <v/>
      </c>
      <c r="AD54" s="2" t="str">
        <f t="shared" si="21"/>
        <v/>
      </c>
    </row>
    <row r="55" spans="4:30">
      <c r="D55" t="str">
        <f t="shared" si="20"/>
        <v/>
      </c>
      <c r="F55" s="2" t="str">
        <f t="shared" si="4"/>
        <v/>
      </c>
      <c r="AC55" s="2" t="str">
        <f t="shared" si="21"/>
        <v/>
      </c>
      <c r="AD55" s="2" t="str">
        <f t="shared" si="21"/>
        <v/>
      </c>
    </row>
    <row r="56" spans="4:30">
      <c r="D56" t="str">
        <f t="shared" si="20"/>
        <v/>
      </c>
      <c r="F56" s="2" t="str">
        <f t="shared" si="4"/>
        <v/>
      </c>
      <c r="AC56" s="2" t="str">
        <f t="shared" si="21"/>
        <v/>
      </c>
      <c r="AD56" s="2" t="str">
        <f t="shared" si="21"/>
        <v/>
      </c>
    </row>
    <row r="57" spans="4:30">
      <c r="D57" t="str">
        <f t="shared" si="20"/>
        <v/>
      </c>
      <c r="F57" s="2" t="str">
        <f t="shared" si="4"/>
        <v/>
      </c>
      <c r="AC57" s="2" t="str">
        <f t="shared" si="21"/>
        <v/>
      </c>
      <c r="AD57" s="2" t="str">
        <f t="shared" si="21"/>
        <v/>
      </c>
    </row>
    <row r="58" spans="4:30">
      <c r="D58" t="str">
        <f t="shared" si="20"/>
        <v/>
      </c>
      <c r="F58" s="2" t="str">
        <f t="shared" si="4"/>
        <v/>
      </c>
      <c r="AC58" s="2" t="str">
        <f t="shared" si="21"/>
        <v/>
      </c>
      <c r="AD58" s="2" t="str">
        <f t="shared" si="21"/>
        <v/>
      </c>
    </row>
    <row r="59" spans="4:30">
      <c r="D59" t="str">
        <f t="shared" si="20"/>
        <v/>
      </c>
      <c r="F59" s="2" t="str">
        <f t="shared" si="4"/>
        <v/>
      </c>
      <c r="AC59" s="2" t="str">
        <f t="shared" si="21"/>
        <v/>
      </c>
      <c r="AD59" s="2" t="str">
        <f t="shared" si="21"/>
        <v/>
      </c>
    </row>
    <row r="60" spans="4:30">
      <c r="D60" t="str">
        <f t="shared" si="20"/>
        <v/>
      </c>
      <c r="F60" s="2" t="str">
        <f t="shared" si="4"/>
        <v/>
      </c>
      <c r="AC60" s="2" t="str">
        <f t="shared" si="21"/>
        <v/>
      </c>
      <c r="AD60" s="2" t="str">
        <f t="shared" si="21"/>
        <v/>
      </c>
    </row>
    <row r="61" spans="4:30">
      <c r="D61" t="str">
        <f t="shared" si="20"/>
        <v/>
      </c>
      <c r="F61" s="2" t="str">
        <f t="shared" si="4"/>
        <v/>
      </c>
      <c r="AC61" s="2" t="str">
        <f t="shared" si="21"/>
        <v/>
      </c>
      <c r="AD61" s="2" t="str">
        <f t="shared" si="21"/>
        <v/>
      </c>
    </row>
    <row r="62" spans="4:30">
      <c r="D62" t="str">
        <f t="shared" si="20"/>
        <v/>
      </c>
      <c r="F62" s="2" t="str">
        <f t="shared" si="4"/>
        <v/>
      </c>
      <c r="AC62" s="2" t="str">
        <f t="shared" ref="AC62:AD65" si="22">IF(OR(AC$14="",$E62=""),"",AB62)</f>
        <v/>
      </c>
      <c r="AD62" s="2" t="str">
        <f t="shared" si="22"/>
        <v/>
      </c>
    </row>
    <row r="63" spans="4:30">
      <c r="D63" t="str">
        <f t="shared" si="20"/>
        <v/>
      </c>
      <c r="F63" s="2" t="str">
        <f t="shared" si="4"/>
        <v/>
      </c>
      <c r="AC63" s="2" t="str">
        <f t="shared" si="22"/>
        <v/>
      </c>
      <c r="AD63" s="2" t="str">
        <f t="shared" si="22"/>
        <v/>
      </c>
    </row>
    <row r="64" spans="4:30">
      <c r="D64" t="str">
        <f t="shared" si="20"/>
        <v/>
      </c>
      <c r="F64" s="2" t="str">
        <f t="shared" si="4"/>
        <v/>
      </c>
      <c r="G64" s="2" t="str">
        <f t="shared" si="4"/>
        <v/>
      </c>
      <c r="H64" s="2" t="str">
        <f t="shared" si="4"/>
        <v/>
      </c>
      <c r="I64" s="2" t="str">
        <f t="shared" si="4"/>
        <v/>
      </c>
      <c r="J64" s="2" t="str">
        <f t="shared" si="4"/>
        <v/>
      </c>
      <c r="K64" s="2" t="str">
        <f t="shared" si="4"/>
        <v/>
      </c>
      <c r="L64" s="2" t="str">
        <f t="shared" si="4"/>
        <v/>
      </c>
      <c r="M64" s="2" t="str">
        <f t="shared" si="4"/>
        <v/>
      </c>
      <c r="N64" s="2" t="str">
        <f t="shared" si="4"/>
        <v/>
      </c>
      <c r="O64" s="2" t="str">
        <f t="shared" si="4"/>
        <v/>
      </c>
      <c r="P64" s="2" t="str">
        <f t="shared" si="4"/>
        <v/>
      </c>
      <c r="Q64" s="2" t="str">
        <f t="shared" si="4"/>
        <v/>
      </c>
      <c r="R64" s="2" t="str">
        <f t="shared" si="4"/>
        <v/>
      </c>
      <c r="S64" s="2" t="str">
        <f t="shared" si="4"/>
        <v/>
      </c>
      <c r="T64" s="2" t="str">
        <f t="shared" si="4"/>
        <v/>
      </c>
      <c r="U64" s="2" t="str">
        <f t="shared" si="4"/>
        <v/>
      </c>
      <c r="V64" s="2" t="str">
        <f t="shared" ref="V64:AB65" si="23">IF(OR(V$14="",$E64=""),"",U64)</f>
        <v/>
      </c>
      <c r="W64" s="2" t="str">
        <f t="shared" si="23"/>
        <v/>
      </c>
      <c r="X64" s="2" t="str">
        <f t="shared" si="23"/>
        <v/>
      </c>
      <c r="Y64" s="2" t="str">
        <f t="shared" si="23"/>
        <v/>
      </c>
      <c r="Z64" s="2" t="str">
        <f t="shared" si="23"/>
        <v/>
      </c>
      <c r="AA64" s="2" t="str">
        <f t="shared" si="23"/>
        <v/>
      </c>
      <c r="AB64" s="2" t="str">
        <f t="shared" si="23"/>
        <v/>
      </c>
      <c r="AC64" s="2" t="str">
        <f t="shared" si="22"/>
        <v/>
      </c>
      <c r="AD64" s="2" t="str">
        <f t="shared" si="22"/>
        <v/>
      </c>
    </row>
    <row r="65" spans="4:30">
      <c r="D65" t="str">
        <f t="shared" si="20"/>
        <v/>
      </c>
      <c r="F65" s="2" t="str">
        <f t="shared" si="4"/>
        <v/>
      </c>
      <c r="G65" s="2" t="str">
        <f t="shared" si="4"/>
        <v/>
      </c>
      <c r="H65" s="2" t="str">
        <f t="shared" si="4"/>
        <v/>
      </c>
      <c r="I65" s="2" t="str">
        <f t="shared" si="4"/>
        <v/>
      </c>
      <c r="J65" s="2" t="str">
        <f t="shared" si="4"/>
        <v/>
      </c>
      <c r="K65" s="2" t="str">
        <f t="shared" si="4"/>
        <v/>
      </c>
      <c r="L65" s="2" t="str">
        <f t="shared" si="4"/>
        <v/>
      </c>
      <c r="M65" s="2" t="str">
        <f t="shared" si="4"/>
        <v/>
      </c>
      <c r="N65" s="2" t="str">
        <f t="shared" si="4"/>
        <v/>
      </c>
      <c r="O65" s="2" t="str">
        <f t="shared" si="4"/>
        <v/>
      </c>
      <c r="P65" s="2" t="str">
        <f t="shared" si="4"/>
        <v/>
      </c>
      <c r="Q65" s="2" t="str">
        <f t="shared" si="4"/>
        <v/>
      </c>
      <c r="R65" s="2" t="str">
        <f t="shared" si="4"/>
        <v/>
      </c>
      <c r="S65" s="2" t="str">
        <f t="shared" si="4"/>
        <v/>
      </c>
      <c r="T65" s="2" t="str">
        <f t="shared" si="4"/>
        <v/>
      </c>
      <c r="U65" s="2" t="str">
        <f t="shared" si="4"/>
        <v/>
      </c>
      <c r="V65" s="2" t="str">
        <f t="shared" si="23"/>
        <v/>
      </c>
      <c r="W65" s="2" t="str">
        <f t="shared" si="23"/>
        <v/>
      </c>
      <c r="X65" s="2" t="str">
        <f t="shared" si="23"/>
        <v/>
      </c>
      <c r="Y65" s="2" t="str">
        <f t="shared" si="23"/>
        <v/>
      </c>
      <c r="Z65" s="2" t="str">
        <f t="shared" si="23"/>
        <v/>
      </c>
      <c r="AA65" s="2" t="str">
        <f t="shared" si="23"/>
        <v/>
      </c>
      <c r="AB65" s="2" t="str">
        <f t="shared" si="23"/>
        <v/>
      </c>
      <c r="AC65" s="2" t="str">
        <f t="shared" si="22"/>
        <v/>
      </c>
      <c r="AD65" s="2" t="str">
        <f t="shared" si="22"/>
        <v/>
      </c>
    </row>
    <row r="70" spans="4:30">
      <c r="D70" t="str">
        <f>IF(A70&lt;&gt;"","Planned","")</f>
        <v/>
      </c>
    </row>
  </sheetData>
  <conditionalFormatting sqref="J15:AD18 A19:AD64">
    <cfRule type="expression" dxfId="23" priority="17" stopIfTrue="1">
      <formula>$D15="Done"</formula>
    </cfRule>
    <cfRule type="expression" dxfId="22" priority="18" stopIfTrue="1">
      <formula>$D15="Ongoing"</formula>
    </cfRule>
  </conditionalFormatting>
  <conditionalFormatting sqref="A15:I18 G16:L18 H15:L15">
    <cfRule type="expression" dxfId="21" priority="15" stopIfTrue="1">
      <formula>$D15="Done"</formula>
    </cfRule>
    <cfRule type="expression" dxfId="20" priority="16" stopIfTrue="1">
      <formula>$D15="Ongoing"</formula>
    </cfRule>
  </conditionalFormatting>
  <conditionalFormatting sqref="A15:D20">
    <cfRule type="expression" dxfId="19" priority="13" stopIfTrue="1">
      <formula>$D15="Done"</formula>
    </cfRule>
    <cfRule type="expression" dxfId="18" priority="14" stopIfTrue="1">
      <formula>$D15="Ongoing"</formula>
    </cfRule>
  </conditionalFormatting>
  <conditionalFormatting sqref="A15:D16">
    <cfRule type="expression" dxfId="17" priority="11" stopIfTrue="1">
      <formula>$D15="Done"</formula>
    </cfRule>
    <cfRule type="expression" dxfId="16" priority="12" stopIfTrue="1">
      <formula>$D15="Ongoing"</formula>
    </cfRule>
  </conditionalFormatting>
  <conditionalFormatting sqref="A17:D20">
    <cfRule type="expression" dxfId="15" priority="9" stopIfTrue="1">
      <formula>$D17="Done"</formula>
    </cfRule>
    <cfRule type="expression" dxfId="14" priority="10" stopIfTrue="1">
      <formula>$D17="Ongoing"</formula>
    </cfRule>
  </conditionalFormatting>
  <conditionalFormatting sqref="A21:D21">
    <cfRule type="expression" dxfId="13" priority="5" stopIfTrue="1">
      <formula>$D21="Done"</formula>
    </cfRule>
    <cfRule type="expression" dxfId="12" priority="6" stopIfTrue="1">
      <formula>$D21="Ongoing"</formula>
    </cfRule>
  </conditionalFormatting>
  <conditionalFormatting sqref="L15">
    <cfRule type="expression" dxfId="11" priority="1" stopIfTrue="1">
      <formula>$D15="Done"</formula>
    </cfRule>
    <cfRule type="expression" dxfId="10" priority="2" stopIfTrue="1">
      <formula>$D15="Ongoing"</formula>
    </cfRule>
  </conditionalFormatting>
  <dataValidations count="1">
    <dataValidation type="list" allowBlank="1" showInputMessage="1" sqref="D3:D8 D15:D70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AD61"/>
  <sheetViews>
    <sheetView tabSelected="1" workbookViewId="0">
      <pane ySplit="14" topLeftCell="A15" activePane="bottomLeft" state="frozen"/>
      <selection pane="bottomLeft" activeCell="C35" sqref="C3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16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8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17</v>
      </c>
      <c r="F10" s="17">
        <f ca="1">IF(AND(SUM(OFFSET(F14,1,0,TaskRows,1))=0),0,SUM(OFFSET(F14,1,0,TaskRows,1)))</f>
        <v>17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IF(COUNTA(A15:A239)=0,1,COUNTA(A15:A239))</f>
        <v>20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17</v>
      </c>
      <c r="G11" s="2">
        <f t="shared" ref="G11:AD11" ca="1" si="1">IF(G14="","",TotalEffort-TotalEffort/(ImplementationDays)*(G14-1))</f>
        <v>14.875</v>
      </c>
      <c r="H11" s="2">
        <f t="shared" ca="1" si="1"/>
        <v>12.75</v>
      </c>
      <c r="I11" s="2">
        <f t="shared" ca="1" si="1"/>
        <v>10.625</v>
      </c>
      <c r="J11" s="2">
        <f t="shared" ca="1" si="1"/>
        <v>8.5</v>
      </c>
      <c r="K11" s="2">
        <f t="shared" ca="1" si="1"/>
        <v>6.375</v>
      </c>
      <c r="L11" s="2">
        <f t="shared" ca="1" si="1"/>
        <v>4.25</v>
      </c>
      <c r="M11" s="2">
        <f t="shared" ca="1" si="1"/>
        <v>2.125</v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17</v>
      </c>
      <c r="G12" s="2">
        <f t="shared" ca="1" si="2"/>
        <v>17</v>
      </c>
      <c r="H12" s="2">
        <f t="shared" ca="1" si="2"/>
        <v>17</v>
      </c>
      <c r="I12" s="2">
        <f t="shared" ca="1" si="2"/>
        <v>17</v>
      </c>
      <c r="J12" s="2">
        <f t="shared" ca="1" si="2"/>
        <v>17</v>
      </c>
      <c r="K12" s="2">
        <f t="shared" ca="1" si="2"/>
        <v>17</v>
      </c>
      <c r="L12" s="2">
        <f t="shared" ca="1" si="2"/>
        <v>17</v>
      </c>
      <c r="M12" s="2">
        <f t="shared" ca="1" si="2"/>
        <v>17</v>
      </c>
      <c r="N12" s="2">
        <f t="shared" ca="1" si="2"/>
        <v>17</v>
      </c>
      <c r="O12" s="2">
        <f t="shared" ca="1" si="2"/>
        <v>17</v>
      </c>
      <c r="P12" s="2">
        <f t="shared" ca="1" si="2"/>
        <v>17</v>
      </c>
      <c r="Q12" s="2">
        <f t="shared" ca="1" si="2"/>
        <v>17</v>
      </c>
      <c r="R12" s="2">
        <f t="shared" ca="1" si="2"/>
        <v>17</v>
      </c>
      <c r="S12" s="2">
        <f t="shared" ca="1" si="2"/>
        <v>17</v>
      </c>
      <c r="T12" s="2">
        <f t="shared" ca="1" si="2"/>
        <v>17</v>
      </c>
      <c r="U12" s="2">
        <f t="shared" ca="1" si="2"/>
        <v>17</v>
      </c>
      <c r="V12" s="2">
        <f t="shared" ca="1" si="2"/>
        <v>17</v>
      </c>
      <c r="W12" s="2">
        <f t="shared" ca="1" si="2"/>
        <v>17</v>
      </c>
      <c r="X12" s="2">
        <f t="shared" ca="1" si="2"/>
        <v>17</v>
      </c>
      <c r="Y12" s="2">
        <f t="shared" ca="1" si="2"/>
        <v>17</v>
      </c>
      <c r="Z12" s="2">
        <f t="shared" ca="1" si="2"/>
        <v>17</v>
      </c>
      <c r="AA12" s="2">
        <f t="shared" ca="1" si="2"/>
        <v>17</v>
      </c>
      <c r="AB12" s="2">
        <f t="shared" ca="1" si="2"/>
        <v>17</v>
      </c>
      <c r="AC12" s="2">
        <f t="shared" ca="1" si="2"/>
        <v>17</v>
      </c>
      <c r="AD12" s="2">
        <f t="shared" ca="1" si="2"/>
        <v>17</v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115" t="s">
        <v>245</v>
      </c>
      <c r="B15" s="2">
        <v>11</v>
      </c>
      <c r="C15" s="103" t="s">
        <v>98</v>
      </c>
      <c r="D15" t="s">
        <v>76</v>
      </c>
      <c r="E15" s="2">
        <v>1</v>
      </c>
      <c r="F15" s="2">
        <f t="shared" ref="F15:U56" si="4">IF(OR(F$14="",$E15=""),"",E15)</f>
        <v>1</v>
      </c>
    </row>
    <row r="16" spans="1:30">
      <c r="A16" s="115" t="s">
        <v>246</v>
      </c>
      <c r="B16" s="2">
        <v>11</v>
      </c>
      <c r="C16" s="103" t="s">
        <v>98</v>
      </c>
      <c r="D16" t="s">
        <v>76</v>
      </c>
      <c r="E16" s="2">
        <v>0.5</v>
      </c>
      <c r="F16" s="2">
        <f t="shared" si="4"/>
        <v>0.5</v>
      </c>
      <c r="AC16" s="2" t="str">
        <f t="shared" ref="AC16:AD32" si="5">IF(OR(AC$14="",$E16=""),"",AB16)</f>
        <v/>
      </c>
      <c r="AD16" s="2" t="str">
        <f t="shared" si="5"/>
        <v/>
      </c>
    </row>
    <row r="17" spans="1:30">
      <c r="A17" s="115" t="s">
        <v>250</v>
      </c>
      <c r="B17" s="2">
        <v>12</v>
      </c>
      <c r="C17" s="103" t="s">
        <v>98</v>
      </c>
      <c r="D17" t="s">
        <v>76</v>
      </c>
      <c r="E17" s="2">
        <v>0.1</v>
      </c>
      <c r="F17" s="2">
        <f t="shared" si="4"/>
        <v>0.1</v>
      </c>
      <c r="AC17" s="2" t="str">
        <f t="shared" si="5"/>
        <v/>
      </c>
      <c r="AD17" s="2" t="str">
        <f t="shared" si="5"/>
        <v/>
      </c>
    </row>
    <row r="18" spans="1:30">
      <c r="A18" s="115" t="s">
        <v>251</v>
      </c>
      <c r="B18" s="2">
        <v>12</v>
      </c>
      <c r="C18" s="103" t="s">
        <v>98</v>
      </c>
      <c r="D18" t="s">
        <v>76</v>
      </c>
      <c r="E18" s="2">
        <v>0.1</v>
      </c>
      <c r="F18" s="2">
        <f t="shared" si="4"/>
        <v>0.1</v>
      </c>
      <c r="AC18" s="2" t="str">
        <f t="shared" si="5"/>
        <v/>
      </c>
      <c r="AD18" s="2" t="str">
        <f t="shared" si="5"/>
        <v/>
      </c>
    </row>
    <row r="19" spans="1:30">
      <c r="A19" s="115" t="s">
        <v>252</v>
      </c>
      <c r="B19" s="2">
        <v>12</v>
      </c>
      <c r="C19" s="103" t="s">
        <v>98</v>
      </c>
      <c r="D19" t="s">
        <v>76</v>
      </c>
      <c r="E19" s="2">
        <v>0.5</v>
      </c>
      <c r="F19" s="2">
        <f t="shared" si="4"/>
        <v>0.5</v>
      </c>
      <c r="AC19" s="2" t="str">
        <f t="shared" si="5"/>
        <v/>
      </c>
      <c r="AD19" s="2" t="str">
        <f t="shared" si="5"/>
        <v/>
      </c>
    </row>
    <row r="20" spans="1:30">
      <c r="A20" s="116" t="s">
        <v>266</v>
      </c>
      <c r="B20" s="2">
        <v>11</v>
      </c>
      <c r="C20" s="103" t="s">
        <v>276</v>
      </c>
      <c r="D20" t="str">
        <f t="shared" ref="D20:D31" si="6">IF(A20&lt;&gt;"","Planned","")</f>
        <v>Planned</v>
      </c>
      <c r="E20" s="2">
        <v>0.5</v>
      </c>
      <c r="F20" s="2">
        <f t="shared" si="4"/>
        <v>0.5</v>
      </c>
      <c r="AC20" s="2" t="str">
        <f t="shared" si="5"/>
        <v/>
      </c>
      <c r="AD20" s="2" t="str">
        <f t="shared" si="5"/>
        <v/>
      </c>
    </row>
    <row r="21" spans="1:30">
      <c r="A21" s="116" t="s">
        <v>278</v>
      </c>
      <c r="B21" s="2">
        <v>11</v>
      </c>
      <c r="C21" s="103" t="s">
        <v>134</v>
      </c>
      <c r="D21" t="s">
        <v>76</v>
      </c>
      <c r="E21" s="2">
        <v>0.5</v>
      </c>
      <c r="F21" s="2">
        <f t="shared" si="4"/>
        <v>0.5</v>
      </c>
      <c r="AC21" s="2" t="str">
        <f t="shared" si="5"/>
        <v/>
      </c>
      <c r="AD21" s="2" t="str">
        <f t="shared" si="5"/>
        <v/>
      </c>
    </row>
    <row r="22" spans="1:30">
      <c r="A22" s="116" t="s">
        <v>279</v>
      </c>
      <c r="B22" s="2">
        <v>11</v>
      </c>
      <c r="C22" s="103" t="s">
        <v>148</v>
      </c>
      <c r="D22" t="s">
        <v>76</v>
      </c>
      <c r="E22" s="2">
        <v>1</v>
      </c>
      <c r="F22" s="2">
        <f t="shared" si="4"/>
        <v>1</v>
      </c>
      <c r="AC22" s="2" t="str">
        <f t="shared" si="5"/>
        <v/>
      </c>
      <c r="AD22" s="2" t="str">
        <f t="shared" si="5"/>
        <v/>
      </c>
    </row>
    <row r="23" spans="1:30">
      <c r="A23" s="116" t="s">
        <v>280</v>
      </c>
      <c r="B23" s="2">
        <v>11</v>
      </c>
      <c r="C23" s="103" t="s">
        <v>98</v>
      </c>
      <c r="D23" t="s">
        <v>19</v>
      </c>
      <c r="E23" s="2">
        <v>1</v>
      </c>
      <c r="F23" s="2">
        <f t="shared" si="4"/>
        <v>1</v>
      </c>
      <c r="AC23" s="2" t="str">
        <f t="shared" si="5"/>
        <v/>
      </c>
      <c r="AD23" s="2" t="str">
        <f t="shared" si="5"/>
        <v/>
      </c>
    </row>
    <row r="24" spans="1:30">
      <c r="A24" s="116" t="s">
        <v>281</v>
      </c>
      <c r="B24" s="2">
        <v>11</v>
      </c>
      <c r="C24" s="103" t="s">
        <v>148</v>
      </c>
      <c r="D24" t="s">
        <v>76</v>
      </c>
      <c r="E24" s="2">
        <v>0.5</v>
      </c>
      <c r="F24" s="2">
        <f t="shared" si="4"/>
        <v>0.5</v>
      </c>
      <c r="AC24" s="2" t="str">
        <f t="shared" si="5"/>
        <v/>
      </c>
      <c r="AD24" s="2" t="str">
        <f t="shared" si="5"/>
        <v/>
      </c>
    </row>
    <row r="25" spans="1:30">
      <c r="A25" s="116" t="s">
        <v>282</v>
      </c>
      <c r="B25" s="2">
        <v>11</v>
      </c>
      <c r="C25" s="103" t="s">
        <v>98</v>
      </c>
      <c r="D25" t="s">
        <v>19</v>
      </c>
      <c r="E25" s="2">
        <v>2</v>
      </c>
      <c r="F25" s="2">
        <f t="shared" si="4"/>
        <v>2</v>
      </c>
      <c r="AC25" s="2" t="str">
        <f t="shared" si="5"/>
        <v/>
      </c>
      <c r="AD25" s="2" t="str">
        <f t="shared" si="5"/>
        <v/>
      </c>
    </row>
    <row r="26" spans="1:30">
      <c r="A26" s="116" t="s">
        <v>283</v>
      </c>
      <c r="B26" s="2">
        <v>11</v>
      </c>
      <c r="C26" s="103" t="s">
        <v>284</v>
      </c>
      <c r="D26" t="s">
        <v>19</v>
      </c>
      <c r="E26" s="2">
        <v>0.2</v>
      </c>
      <c r="F26" s="2">
        <f t="shared" si="4"/>
        <v>0.2</v>
      </c>
      <c r="AC26" s="2" t="str">
        <f t="shared" si="5"/>
        <v/>
      </c>
      <c r="AD26" s="2" t="str">
        <f t="shared" si="5"/>
        <v/>
      </c>
    </row>
    <row r="27" spans="1:30">
      <c r="A27" s="116" t="s">
        <v>285</v>
      </c>
      <c r="B27" s="2">
        <v>11</v>
      </c>
      <c r="C27" s="103" t="s">
        <v>284</v>
      </c>
      <c r="D27" t="s">
        <v>19</v>
      </c>
      <c r="E27" s="2">
        <v>0.2</v>
      </c>
      <c r="F27" s="2">
        <f t="shared" si="4"/>
        <v>0.2</v>
      </c>
      <c r="AC27" s="2" t="str">
        <f t="shared" si="5"/>
        <v/>
      </c>
      <c r="AD27" s="2" t="str">
        <f t="shared" si="5"/>
        <v/>
      </c>
    </row>
    <row r="28" spans="1:30">
      <c r="A28" s="115" t="s">
        <v>260</v>
      </c>
      <c r="B28" s="2">
        <v>11</v>
      </c>
      <c r="C28" s="103" t="s">
        <v>134</v>
      </c>
      <c r="D28" t="s">
        <v>76</v>
      </c>
      <c r="E28" s="2">
        <v>0.8</v>
      </c>
      <c r="F28" s="2">
        <f t="shared" si="4"/>
        <v>0.8</v>
      </c>
      <c r="AC28" s="2" t="str">
        <f t="shared" si="5"/>
        <v/>
      </c>
      <c r="AD28" s="2" t="str">
        <f t="shared" si="5"/>
        <v/>
      </c>
    </row>
    <row r="29" spans="1:30">
      <c r="A29" s="115" t="s">
        <v>261</v>
      </c>
      <c r="B29" s="2">
        <v>11</v>
      </c>
      <c r="C29" s="103" t="s">
        <v>98</v>
      </c>
      <c r="D29" t="str">
        <f t="shared" si="6"/>
        <v>Planned</v>
      </c>
      <c r="E29" s="2">
        <v>0.5</v>
      </c>
      <c r="F29" s="2">
        <f t="shared" si="4"/>
        <v>0.5</v>
      </c>
      <c r="AC29" s="2" t="str">
        <f t="shared" si="5"/>
        <v/>
      </c>
      <c r="AD29" s="2" t="str">
        <f t="shared" si="5"/>
        <v/>
      </c>
    </row>
    <row r="30" spans="1:30">
      <c r="A30" s="116" t="s">
        <v>274</v>
      </c>
      <c r="B30" s="2">
        <v>11</v>
      </c>
      <c r="C30" s="103" t="s">
        <v>98</v>
      </c>
      <c r="D30" t="str">
        <f t="shared" si="6"/>
        <v>Planned</v>
      </c>
      <c r="E30" s="2">
        <v>0.5</v>
      </c>
      <c r="F30" s="2">
        <f t="shared" si="4"/>
        <v>0.5</v>
      </c>
      <c r="AC30" s="2" t="str">
        <f t="shared" si="5"/>
        <v/>
      </c>
      <c r="AD30" s="2" t="str">
        <f t="shared" si="5"/>
        <v/>
      </c>
    </row>
    <row r="31" spans="1:30">
      <c r="A31" s="116" t="s">
        <v>275</v>
      </c>
      <c r="B31" s="2">
        <v>11</v>
      </c>
      <c r="C31" s="103" t="s">
        <v>98</v>
      </c>
      <c r="D31" t="str">
        <f t="shared" si="6"/>
        <v>Planned</v>
      </c>
      <c r="E31" s="2">
        <v>0.1</v>
      </c>
      <c r="F31" s="2">
        <f t="shared" si="4"/>
        <v>0.1</v>
      </c>
      <c r="AC31" s="2" t="str">
        <f t="shared" si="5"/>
        <v/>
      </c>
      <c r="AD31" s="2" t="str">
        <f t="shared" si="5"/>
        <v/>
      </c>
    </row>
    <row r="32" spans="1:30">
      <c r="A32" s="116" t="s">
        <v>289</v>
      </c>
      <c r="B32" s="2">
        <v>11</v>
      </c>
      <c r="C32" s="103" t="s">
        <v>290</v>
      </c>
      <c r="D32" t="str">
        <f t="shared" ref="D32:D56" si="7">IF(A32&lt;&gt;"","Planned","")</f>
        <v>Planned</v>
      </c>
      <c r="E32" s="2">
        <v>3</v>
      </c>
      <c r="F32" s="2">
        <f t="shared" si="4"/>
        <v>3</v>
      </c>
      <c r="AC32" s="2" t="str">
        <f t="shared" si="5"/>
        <v/>
      </c>
      <c r="AD32" s="2" t="str">
        <f t="shared" si="5"/>
        <v/>
      </c>
    </row>
    <row r="33" spans="1:30">
      <c r="A33" s="116" t="s">
        <v>291</v>
      </c>
      <c r="B33" s="2">
        <v>15</v>
      </c>
      <c r="C33" s="103" t="s">
        <v>148</v>
      </c>
      <c r="D33" t="str">
        <f t="shared" si="7"/>
        <v>Planned</v>
      </c>
      <c r="E33" s="2">
        <v>3</v>
      </c>
      <c r="F33" s="2">
        <f t="shared" si="4"/>
        <v>3</v>
      </c>
      <c r="AC33" s="2" t="str">
        <f t="shared" ref="AC33:AD52" si="8">IF(OR(AC$14="",$E33=""),"",AB33)</f>
        <v/>
      </c>
      <c r="AD33" s="2" t="str">
        <f t="shared" si="8"/>
        <v/>
      </c>
    </row>
    <row r="34" spans="1:30">
      <c r="A34" s="116" t="s">
        <v>292</v>
      </c>
      <c r="B34" s="2">
        <v>15</v>
      </c>
      <c r="C34" s="103" t="s">
        <v>293</v>
      </c>
      <c r="D34" t="str">
        <f t="shared" si="7"/>
        <v>Planned</v>
      </c>
      <c r="E34" s="2">
        <v>1</v>
      </c>
      <c r="F34" s="2">
        <f t="shared" si="4"/>
        <v>1</v>
      </c>
      <c r="AC34" s="2" t="str">
        <f t="shared" si="8"/>
        <v/>
      </c>
      <c r="AD34" s="2" t="str">
        <f t="shared" si="8"/>
        <v/>
      </c>
    </row>
    <row r="35" spans="1:30">
      <c r="D35" t="str">
        <f t="shared" si="7"/>
        <v/>
      </c>
      <c r="F35" s="2" t="str">
        <f t="shared" si="4"/>
        <v/>
      </c>
      <c r="AC35" s="2" t="str">
        <f t="shared" si="8"/>
        <v/>
      </c>
      <c r="AD35" s="2" t="str">
        <f t="shared" si="8"/>
        <v/>
      </c>
    </row>
    <row r="36" spans="1:30">
      <c r="D36" t="str">
        <f t="shared" si="7"/>
        <v/>
      </c>
      <c r="F36" s="2" t="str">
        <f t="shared" si="4"/>
        <v/>
      </c>
      <c r="AC36" s="2" t="str">
        <f t="shared" si="8"/>
        <v/>
      </c>
      <c r="AD36" s="2" t="str">
        <f t="shared" si="8"/>
        <v/>
      </c>
    </row>
    <row r="37" spans="1:30">
      <c r="D37" t="str">
        <f t="shared" si="7"/>
        <v/>
      </c>
      <c r="F37" s="2" t="str">
        <f t="shared" si="4"/>
        <v/>
      </c>
      <c r="AC37" s="2" t="str">
        <f t="shared" si="8"/>
        <v/>
      </c>
      <c r="AD37" s="2" t="str">
        <f t="shared" si="8"/>
        <v/>
      </c>
    </row>
    <row r="38" spans="1:30">
      <c r="D38" t="str">
        <f t="shared" si="7"/>
        <v/>
      </c>
      <c r="F38" s="2" t="str">
        <f t="shared" si="4"/>
        <v/>
      </c>
      <c r="AC38" s="2" t="str">
        <f t="shared" si="8"/>
        <v/>
      </c>
      <c r="AD38" s="2" t="str">
        <f t="shared" si="8"/>
        <v/>
      </c>
    </row>
    <row r="39" spans="1:30">
      <c r="D39" t="str">
        <f t="shared" si="7"/>
        <v/>
      </c>
      <c r="F39" s="2" t="str">
        <f t="shared" si="4"/>
        <v/>
      </c>
      <c r="AC39" s="2" t="str">
        <f t="shared" si="8"/>
        <v/>
      </c>
      <c r="AD39" s="2" t="str">
        <f t="shared" si="8"/>
        <v/>
      </c>
    </row>
    <row r="40" spans="1:30">
      <c r="D40" t="str">
        <f t="shared" si="7"/>
        <v/>
      </c>
      <c r="F40" s="2" t="str">
        <f t="shared" si="4"/>
        <v/>
      </c>
      <c r="AC40" s="2" t="str">
        <f t="shared" si="8"/>
        <v/>
      </c>
      <c r="AD40" s="2" t="str">
        <f t="shared" si="8"/>
        <v/>
      </c>
    </row>
    <row r="41" spans="1:30">
      <c r="D41" t="str">
        <f t="shared" si="7"/>
        <v/>
      </c>
      <c r="F41" s="2" t="str">
        <f t="shared" si="4"/>
        <v/>
      </c>
      <c r="AC41" s="2" t="str">
        <f t="shared" si="8"/>
        <v/>
      </c>
      <c r="AD41" s="2" t="str">
        <f t="shared" si="8"/>
        <v/>
      </c>
    </row>
    <row r="42" spans="1:30">
      <c r="D42" t="str">
        <f t="shared" si="7"/>
        <v/>
      </c>
      <c r="F42" s="2" t="str">
        <f t="shared" si="4"/>
        <v/>
      </c>
      <c r="AC42" s="2" t="str">
        <f t="shared" si="8"/>
        <v/>
      </c>
      <c r="AD42" s="2" t="str">
        <f t="shared" si="8"/>
        <v/>
      </c>
    </row>
    <row r="43" spans="1:30">
      <c r="D43" t="str">
        <f t="shared" si="7"/>
        <v/>
      </c>
      <c r="F43" s="2" t="str">
        <f t="shared" si="4"/>
        <v/>
      </c>
      <c r="AC43" s="2" t="str">
        <f t="shared" si="8"/>
        <v/>
      </c>
      <c r="AD43" s="2" t="str">
        <f t="shared" si="8"/>
        <v/>
      </c>
    </row>
    <row r="44" spans="1:30">
      <c r="D44" t="str">
        <f t="shared" si="7"/>
        <v/>
      </c>
      <c r="F44" s="2" t="str">
        <f t="shared" si="4"/>
        <v/>
      </c>
      <c r="AC44" s="2" t="str">
        <f t="shared" si="8"/>
        <v/>
      </c>
      <c r="AD44" s="2" t="str">
        <f t="shared" si="8"/>
        <v/>
      </c>
    </row>
    <row r="45" spans="1:30">
      <c r="D45" t="str">
        <f t="shared" si="7"/>
        <v/>
      </c>
      <c r="F45" s="2" t="str">
        <f t="shared" si="4"/>
        <v/>
      </c>
      <c r="AC45" s="2" t="str">
        <f t="shared" si="8"/>
        <v/>
      </c>
      <c r="AD45" s="2" t="str">
        <f t="shared" si="8"/>
        <v/>
      </c>
    </row>
    <row r="46" spans="1:30">
      <c r="D46" t="str">
        <f t="shared" si="7"/>
        <v/>
      </c>
      <c r="F46" s="2" t="str">
        <f t="shared" si="4"/>
        <v/>
      </c>
      <c r="AC46" s="2" t="str">
        <f t="shared" si="8"/>
        <v/>
      </c>
      <c r="AD46" s="2" t="str">
        <f t="shared" si="8"/>
        <v/>
      </c>
    </row>
    <row r="47" spans="1:30">
      <c r="D47" t="str">
        <f t="shared" si="7"/>
        <v/>
      </c>
      <c r="F47" s="2" t="str">
        <f t="shared" si="4"/>
        <v/>
      </c>
      <c r="AC47" s="2" t="str">
        <f t="shared" si="8"/>
        <v/>
      </c>
      <c r="AD47" s="2" t="str">
        <f t="shared" si="8"/>
        <v/>
      </c>
    </row>
    <row r="48" spans="1:30">
      <c r="D48" t="str">
        <f t="shared" si="7"/>
        <v/>
      </c>
      <c r="F48" s="2" t="str">
        <f t="shared" si="4"/>
        <v/>
      </c>
      <c r="AC48" s="2" t="str">
        <f t="shared" si="8"/>
        <v/>
      </c>
      <c r="AD48" s="2" t="str">
        <f t="shared" si="8"/>
        <v/>
      </c>
    </row>
    <row r="49" spans="4:30">
      <c r="D49" t="str">
        <f t="shared" si="7"/>
        <v/>
      </c>
      <c r="F49" s="2" t="str">
        <f t="shared" si="4"/>
        <v/>
      </c>
      <c r="AC49" s="2" t="str">
        <f t="shared" si="8"/>
        <v/>
      </c>
      <c r="AD49" s="2" t="str">
        <f t="shared" si="8"/>
        <v/>
      </c>
    </row>
    <row r="50" spans="4:30">
      <c r="D50" t="str">
        <f t="shared" si="7"/>
        <v/>
      </c>
      <c r="F50" s="2" t="str">
        <f t="shared" si="4"/>
        <v/>
      </c>
      <c r="AC50" s="2" t="str">
        <f t="shared" si="8"/>
        <v/>
      </c>
      <c r="AD50" s="2" t="str">
        <f t="shared" si="8"/>
        <v/>
      </c>
    </row>
    <row r="51" spans="4:30">
      <c r="D51" t="str">
        <f t="shared" si="7"/>
        <v/>
      </c>
      <c r="F51" s="2" t="str">
        <f t="shared" si="4"/>
        <v/>
      </c>
      <c r="AC51" s="2" t="str">
        <f t="shared" si="8"/>
        <v/>
      </c>
      <c r="AD51" s="2" t="str">
        <f t="shared" si="8"/>
        <v/>
      </c>
    </row>
    <row r="52" spans="4:30">
      <c r="D52" t="str">
        <f t="shared" si="7"/>
        <v/>
      </c>
      <c r="F52" s="2" t="str">
        <f t="shared" si="4"/>
        <v/>
      </c>
      <c r="AC52" s="2" t="str">
        <f t="shared" si="8"/>
        <v/>
      </c>
      <c r="AD52" s="2" t="str">
        <f t="shared" si="8"/>
        <v/>
      </c>
    </row>
    <row r="53" spans="4:30">
      <c r="D53" t="str">
        <f t="shared" si="7"/>
        <v/>
      </c>
      <c r="F53" s="2" t="str">
        <f t="shared" si="4"/>
        <v/>
      </c>
      <c r="AC53" s="2" t="str">
        <f t="shared" ref="AC53:AD56" si="9">IF(OR(AC$14="",$E53=""),"",AB53)</f>
        <v/>
      </c>
      <c r="AD53" s="2" t="str">
        <f t="shared" si="9"/>
        <v/>
      </c>
    </row>
    <row r="54" spans="4:30">
      <c r="D54" t="str">
        <f t="shared" si="7"/>
        <v/>
      </c>
      <c r="F54" s="2" t="str">
        <f t="shared" si="4"/>
        <v/>
      </c>
      <c r="AC54" s="2" t="str">
        <f t="shared" si="9"/>
        <v/>
      </c>
      <c r="AD54" s="2" t="str">
        <f t="shared" si="9"/>
        <v/>
      </c>
    </row>
    <row r="55" spans="4:30">
      <c r="D55" t="str">
        <f t="shared" si="7"/>
        <v/>
      </c>
      <c r="F55" s="2" t="str">
        <f t="shared" si="4"/>
        <v/>
      </c>
      <c r="G55" s="2" t="str">
        <f t="shared" si="4"/>
        <v/>
      </c>
      <c r="H55" s="2" t="str">
        <f t="shared" si="4"/>
        <v/>
      </c>
      <c r="I55" s="2" t="str">
        <f t="shared" si="4"/>
        <v/>
      </c>
      <c r="J55" s="2" t="str">
        <f t="shared" si="4"/>
        <v/>
      </c>
      <c r="K55" s="2" t="str">
        <f t="shared" si="4"/>
        <v/>
      </c>
      <c r="L55" s="2" t="str">
        <f t="shared" si="4"/>
        <v/>
      </c>
      <c r="M55" s="2" t="str">
        <f t="shared" si="4"/>
        <v/>
      </c>
      <c r="N55" s="2" t="str">
        <f t="shared" si="4"/>
        <v/>
      </c>
      <c r="O55" s="2" t="str">
        <f t="shared" si="4"/>
        <v/>
      </c>
      <c r="P55" s="2" t="str">
        <f t="shared" si="4"/>
        <v/>
      </c>
      <c r="Q55" s="2" t="str">
        <f t="shared" si="4"/>
        <v/>
      </c>
      <c r="R55" s="2" t="str">
        <f t="shared" si="4"/>
        <v/>
      </c>
      <c r="S55" s="2" t="str">
        <f t="shared" si="4"/>
        <v/>
      </c>
      <c r="T55" s="2" t="str">
        <f t="shared" si="4"/>
        <v/>
      </c>
      <c r="U55" s="2" t="str">
        <f t="shared" si="4"/>
        <v/>
      </c>
      <c r="V55" s="2" t="str">
        <f t="shared" ref="V55:AB56" si="10">IF(OR(V$14="",$E55=""),"",U55)</f>
        <v/>
      </c>
      <c r="W55" s="2" t="str">
        <f t="shared" si="10"/>
        <v/>
      </c>
      <c r="X55" s="2" t="str">
        <f t="shared" si="10"/>
        <v/>
      </c>
      <c r="Y55" s="2" t="str">
        <f t="shared" si="10"/>
        <v/>
      </c>
      <c r="Z55" s="2" t="str">
        <f t="shared" si="10"/>
        <v/>
      </c>
      <c r="AA55" s="2" t="str">
        <f t="shared" si="10"/>
        <v/>
      </c>
      <c r="AB55" s="2" t="str">
        <f t="shared" si="10"/>
        <v/>
      </c>
      <c r="AC55" s="2" t="str">
        <f t="shared" si="9"/>
        <v/>
      </c>
      <c r="AD55" s="2" t="str">
        <f t="shared" si="9"/>
        <v/>
      </c>
    </row>
    <row r="56" spans="4:30">
      <c r="D56" t="str">
        <f t="shared" si="7"/>
        <v/>
      </c>
      <c r="F56" s="2" t="str">
        <f t="shared" si="4"/>
        <v/>
      </c>
      <c r="G56" s="2" t="str">
        <f t="shared" si="4"/>
        <v/>
      </c>
      <c r="H56" s="2" t="str">
        <f t="shared" si="4"/>
        <v/>
      </c>
      <c r="I56" s="2" t="str">
        <f t="shared" si="4"/>
        <v/>
      </c>
      <c r="J56" s="2" t="str">
        <f t="shared" si="4"/>
        <v/>
      </c>
      <c r="K56" s="2" t="str">
        <f t="shared" si="4"/>
        <v/>
      </c>
      <c r="L56" s="2" t="str">
        <f t="shared" si="4"/>
        <v/>
      </c>
      <c r="M56" s="2" t="str">
        <f t="shared" si="4"/>
        <v/>
      </c>
      <c r="N56" s="2" t="str">
        <f t="shared" si="4"/>
        <v/>
      </c>
      <c r="O56" s="2" t="str">
        <f t="shared" si="4"/>
        <v/>
      </c>
      <c r="P56" s="2" t="str">
        <f t="shared" si="4"/>
        <v/>
      </c>
      <c r="Q56" s="2" t="str">
        <f t="shared" si="4"/>
        <v/>
      </c>
      <c r="R56" s="2" t="str">
        <f t="shared" si="4"/>
        <v/>
      </c>
      <c r="S56" s="2" t="str">
        <f t="shared" si="4"/>
        <v/>
      </c>
      <c r="T56" s="2" t="str">
        <f t="shared" si="4"/>
        <v/>
      </c>
      <c r="U56" s="2" t="str">
        <f t="shared" si="4"/>
        <v/>
      </c>
      <c r="V56" s="2" t="str">
        <f t="shared" si="10"/>
        <v/>
      </c>
      <c r="W56" s="2" t="str">
        <f t="shared" si="10"/>
        <v/>
      </c>
      <c r="X56" s="2" t="str">
        <f t="shared" si="10"/>
        <v/>
      </c>
      <c r="Y56" s="2" t="str">
        <f t="shared" si="10"/>
        <v/>
      </c>
      <c r="Z56" s="2" t="str">
        <f t="shared" si="10"/>
        <v/>
      </c>
      <c r="AA56" s="2" t="str">
        <f t="shared" si="10"/>
        <v/>
      </c>
      <c r="AB56" s="2" t="str">
        <f t="shared" si="10"/>
        <v/>
      </c>
      <c r="AC56" s="2" t="str">
        <f t="shared" si="9"/>
        <v/>
      </c>
      <c r="AD56" s="2" t="str">
        <f t="shared" si="9"/>
        <v/>
      </c>
    </row>
    <row r="61" spans="4:30">
      <c r="D61" t="str">
        <f>IF(A61&lt;&gt;"","Planned","")</f>
        <v/>
      </c>
    </row>
  </sheetData>
  <conditionalFormatting sqref="A15:AD55">
    <cfRule type="expression" dxfId="9" priority="15" stopIfTrue="1">
      <formula>$D15="Done"</formula>
    </cfRule>
    <cfRule type="expression" dxfId="8" priority="16" stopIfTrue="1">
      <formula>$D15="Ongoing"</formula>
    </cfRule>
  </conditionalFormatting>
  <conditionalFormatting sqref="A15:D16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20:D20">
    <cfRule type="expression" dxfId="5" priority="1" stopIfTrue="1">
      <formula>$D20="Done"</formula>
    </cfRule>
    <cfRule type="expression" dxfId="4" priority="2" stopIfTrue="1">
      <formula>$D20="Ongoing"</formula>
    </cfRule>
  </conditionalFormatting>
  <dataValidations count="1">
    <dataValidation type="list" allowBlank="1" showInputMessage="1" sqref="D3:D8 D15:D61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>
      <c r="A1" s="30">
        <v>1</v>
      </c>
      <c r="B1" s="36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12</v>
      </c>
      <c r="B9" s="35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29</v>
      </c>
      <c r="B10" s="35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>
      <c r="A12" s="55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5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F270"/>
  <sheetViews>
    <sheetView workbookViewId="0"/>
  </sheetViews>
  <sheetFormatPr defaultRowHeight="12.75"/>
  <cols>
    <col min="1" max="3" width="9.140625" style="34"/>
    <col min="4" max="4" width="32.7109375" style="34" customWidth="1"/>
    <col min="5" max="5" width="9.140625" style="34"/>
    <col min="6" max="6" width="32.7109375" style="34" customWidth="1"/>
    <col min="7" max="16384" width="9.140625" style="34"/>
  </cols>
  <sheetData>
    <row r="1" spans="1:6">
      <c r="A1" s="83" t="s">
        <v>89</v>
      </c>
      <c r="B1" s="99">
        <v>5</v>
      </c>
      <c r="C1" s="84" t="s">
        <v>90</v>
      </c>
      <c r="D1" s="85" t="s">
        <v>110</v>
      </c>
      <c r="E1" s="85"/>
      <c r="F1" s="86"/>
    </row>
    <row r="2" spans="1:6">
      <c r="A2" s="87" t="s">
        <v>91</v>
      </c>
      <c r="B2" s="80" t="s">
        <v>183</v>
      </c>
      <c r="C2" s="80"/>
      <c r="D2" s="80"/>
      <c r="E2" s="80"/>
      <c r="F2" s="88"/>
    </row>
    <row r="3" spans="1:6">
      <c r="A3" s="89"/>
      <c r="B3" s="81"/>
      <c r="C3" s="81"/>
      <c r="D3" s="81"/>
      <c r="E3" s="81"/>
      <c r="F3" s="90"/>
    </row>
    <row r="4" spans="1:6">
      <c r="A4" s="91"/>
      <c r="B4" s="82"/>
      <c r="C4" s="82"/>
      <c r="D4" s="82"/>
      <c r="E4" s="82"/>
      <c r="F4" s="92"/>
    </row>
    <row r="5" spans="1:6">
      <c r="A5" s="97" t="str">
        <f>CONCATENATE("Responsible Person: ",Sprint13!C15)</f>
        <v>Responsible Person: Leo</v>
      </c>
      <c r="B5" s="79"/>
      <c r="C5" s="79"/>
      <c r="D5" s="79"/>
      <c r="E5" s="79"/>
      <c r="F5" s="98"/>
    </row>
    <row r="6" spans="1:6" ht="26.25" thickBot="1">
      <c r="A6" s="93" t="s">
        <v>88</v>
      </c>
      <c r="B6" s="100">
        <v>0.1</v>
      </c>
      <c r="C6" s="95" t="s">
        <v>93</v>
      </c>
      <c r="D6" s="94"/>
      <c r="E6" s="95" t="s">
        <v>92</v>
      </c>
      <c r="F6" s="96"/>
    </row>
    <row r="8" spans="1:6" ht="13.5" thickBot="1"/>
    <row r="9" spans="1:6">
      <c r="A9" s="83" t="s">
        <v>89</v>
      </c>
      <c r="B9" s="99">
        <v>11</v>
      </c>
      <c r="C9" s="84" t="s">
        <v>90</v>
      </c>
      <c r="D9" s="85" t="s">
        <v>268</v>
      </c>
      <c r="E9" s="85"/>
      <c r="F9" s="86"/>
    </row>
    <row r="10" spans="1:6">
      <c r="A10" s="87" t="s">
        <v>91</v>
      </c>
      <c r="B10" s="80" t="s">
        <v>265</v>
      </c>
      <c r="C10" s="80"/>
      <c r="D10" s="80"/>
      <c r="E10" s="80"/>
      <c r="F10" s="88"/>
    </row>
    <row r="11" spans="1:6">
      <c r="A11" s="89"/>
      <c r="B11" s="81"/>
      <c r="C11" s="81"/>
      <c r="D11" s="81"/>
      <c r="E11" s="81"/>
      <c r="F11" s="90"/>
    </row>
    <row r="12" spans="1:6">
      <c r="A12" s="91"/>
      <c r="B12" s="82"/>
      <c r="C12" s="82"/>
      <c r="D12" s="82"/>
      <c r="E12" s="82"/>
      <c r="F12" s="92"/>
    </row>
    <row r="13" spans="1:6">
      <c r="A13" s="97" t="str">
        <f>CONCATENATE("Responsible Person: ",Sprint13!C16)</f>
        <v>Responsible Person: Lisa, Leo</v>
      </c>
      <c r="B13" s="79"/>
      <c r="C13" s="79"/>
      <c r="D13" s="79"/>
      <c r="E13" s="79"/>
      <c r="F13" s="98"/>
    </row>
    <row r="14" spans="1:6" ht="26.25" thickBot="1">
      <c r="A14" s="93" t="s">
        <v>88</v>
      </c>
      <c r="B14" s="100">
        <v>6</v>
      </c>
      <c r="C14" s="95" t="s">
        <v>93</v>
      </c>
      <c r="D14" s="94"/>
      <c r="E14" s="95" t="s">
        <v>92</v>
      </c>
      <c r="F14" s="96"/>
    </row>
    <row r="16" spans="1:6" ht="13.5" thickBot="1"/>
    <row r="17" spans="1:6">
      <c r="A17" s="83" t="s">
        <v>89</v>
      </c>
      <c r="B17" s="99">
        <v>5</v>
      </c>
      <c r="C17" s="84" t="s">
        <v>90</v>
      </c>
      <c r="D17" s="85" t="s">
        <v>110</v>
      </c>
      <c r="E17" s="85"/>
      <c r="F17" s="86"/>
    </row>
    <row r="18" spans="1:6">
      <c r="A18" s="87" t="s">
        <v>91</v>
      </c>
      <c r="B18" s="80" t="s">
        <v>205</v>
      </c>
      <c r="C18" s="80"/>
      <c r="D18" s="80"/>
      <c r="E18" s="80"/>
      <c r="F18" s="88"/>
    </row>
    <row r="19" spans="1:6">
      <c r="A19" s="89"/>
      <c r="B19" s="81"/>
      <c r="C19" s="81"/>
      <c r="D19" s="81"/>
      <c r="E19" s="81"/>
      <c r="F19" s="90"/>
    </row>
    <row r="20" spans="1:6">
      <c r="A20" s="91"/>
      <c r="B20" s="82"/>
      <c r="C20" s="82"/>
      <c r="D20" s="82"/>
      <c r="E20" s="82"/>
      <c r="F20" s="92"/>
    </row>
    <row r="21" spans="1:6">
      <c r="A21" s="97" t="str">
        <f>CONCATENATE("Responsible Person: ",Sprint13!C17)</f>
        <v>Responsible Person: Leo</v>
      </c>
      <c r="B21" s="79"/>
      <c r="C21" s="79"/>
      <c r="D21" s="79"/>
      <c r="E21" s="79"/>
      <c r="F21" s="98"/>
    </row>
    <row r="22" spans="1:6" ht="26.25" thickBot="1">
      <c r="A22" s="93" t="s">
        <v>88</v>
      </c>
      <c r="B22" s="100">
        <v>1</v>
      </c>
      <c r="C22" s="95" t="s">
        <v>93</v>
      </c>
      <c r="D22" s="94"/>
      <c r="E22" s="95" t="s">
        <v>92</v>
      </c>
      <c r="F22" s="96"/>
    </row>
    <row r="24" spans="1:6" ht="13.5" thickBot="1"/>
    <row r="25" spans="1:6">
      <c r="A25" s="83" t="s">
        <v>89</v>
      </c>
      <c r="B25" s="99">
        <v>13</v>
      </c>
      <c r="C25" s="84" t="s">
        <v>90</v>
      </c>
      <c r="D25" s="85" t="s">
        <v>267</v>
      </c>
      <c r="E25" s="85"/>
      <c r="F25" s="86"/>
    </row>
    <row r="26" spans="1:6">
      <c r="A26" s="87" t="s">
        <v>91</v>
      </c>
      <c r="B26" s="80" t="s">
        <v>223</v>
      </c>
      <c r="C26" s="80"/>
      <c r="D26" s="80"/>
      <c r="E26" s="80"/>
      <c r="F26" s="88"/>
    </row>
    <row r="27" spans="1:6">
      <c r="A27" s="89"/>
      <c r="B27" s="81"/>
      <c r="C27" s="81"/>
      <c r="D27" s="81"/>
      <c r="E27" s="81"/>
      <c r="F27" s="90"/>
    </row>
    <row r="28" spans="1:6">
      <c r="A28" s="91"/>
      <c r="B28" s="82"/>
      <c r="C28" s="82"/>
      <c r="D28" s="82"/>
      <c r="E28" s="82"/>
      <c r="F28" s="92"/>
    </row>
    <row r="29" spans="1:6">
      <c r="A29" s="97" t="str">
        <f>CONCATENATE("Responsible Person: ",Sprint13!C18)</f>
        <v>Responsible Person: Leo</v>
      </c>
      <c r="B29" s="79"/>
      <c r="C29" s="79"/>
      <c r="D29" s="79"/>
      <c r="E29" s="79"/>
      <c r="F29" s="98"/>
    </row>
    <row r="30" spans="1:6" ht="26.25" thickBot="1">
      <c r="A30" s="93" t="s">
        <v>88</v>
      </c>
      <c r="B30" s="100">
        <v>0.2</v>
      </c>
      <c r="C30" s="95" t="s">
        <v>93</v>
      </c>
      <c r="D30" s="94"/>
      <c r="E30" s="95" t="s">
        <v>92</v>
      </c>
      <c r="F30" s="96"/>
    </row>
    <row r="32" spans="1:6" ht="13.5" thickBot="1"/>
    <row r="33" spans="1:6">
      <c r="A33" s="83" t="s">
        <v>89</v>
      </c>
      <c r="B33" s="99">
        <v>12</v>
      </c>
      <c r="C33" s="84" t="s">
        <v>90</v>
      </c>
      <c r="D33" s="85" t="s">
        <v>215</v>
      </c>
      <c r="E33" s="85"/>
      <c r="F33" s="86"/>
    </row>
    <row r="34" spans="1:6">
      <c r="A34" s="87" t="s">
        <v>91</v>
      </c>
      <c r="B34" s="80" t="s">
        <v>231</v>
      </c>
      <c r="C34" s="80"/>
      <c r="D34" s="80"/>
      <c r="E34" s="80"/>
      <c r="F34" s="88"/>
    </row>
    <row r="35" spans="1:6">
      <c r="A35" s="89"/>
      <c r="B35" s="81"/>
      <c r="C35" s="81"/>
      <c r="D35" s="81"/>
      <c r="E35" s="81"/>
      <c r="F35" s="90"/>
    </row>
    <row r="36" spans="1:6">
      <c r="A36" s="91"/>
      <c r="B36" s="82"/>
      <c r="C36" s="82"/>
      <c r="D36" s="82"/>
      <c r="E36" s="82"/>
      <c r="F36" s="92"/>
    </row>
    <row r="37" spans="1:6">
      <c r="A37" s="97" t="str">
        <f>CONCATENATE("Responsible Person: ",Sprint13!C19)</f>
        <v>Responsible Person: Lisa, Leo</v>
      </c>
      <c r="B37" s="79"/>
      <c r="C37" s="79"/>
      <c r="D37" s="79"/>
      <c r="E37" s="79"/>
      <c r="F37" s="98"/>
    </row>
    <row r="38" spans="1:6" ht="26.25" thickBot="1">
      <c r="A38" s="93" t="s">
        <v>88</v>
      </c>
      <c r="B38" s="100">
        <v>0.2</v>
      </c>
      <c r="C38" s="95" t="s">
        <v>93</v>
      </c>
      <c r="D38" s="94"/>
      <c r="E38" s="95" t="s">
        <v>92</v>
      </c>
      <c r="F38" s="96"/>
    </row>
    <row r="40" spans="1:6" ht="13.5" thickBot="1"/>
    <row r="41" spans="1:6">
      <c r="A41" s="83" t="s">
        <v>89</v>
      </c>
      <c r="B41" s="99">
        <v>11</v>
      </c>
      <c r="C41" s="84" t="s">
        <v>90</v>
      </c>
      <c r="D41" s="85" t="s">
        <v>268</v>
      </c>
      <c r="E41" s="85"/>
      <c r="F41" s="86"/>
    </row>
    <row r="42" spans="1:6">
      <c r="A42" s="87" t="s">
        <v>91</v>
      </c>
      <c r="B42" s="80" t="s">
        <v>234</v>
      </c>
      <c r="C42" s="80"/>
      <c r="D42" s="80"/>
      <c r="E42" s="80"/>
      <c r="F42" s="88"/>
    </row>
    <row r="43" spans="1:6">
      <c r="A43" s="89"/>
      <c r="B43" s="81"/>
      <c r="C43" s="81"/>
      <c r="D43" s="81"/>
      <c r="E43" s="81"/>
      <c r="F43" s="90"/>
    </row>
    <row r="44" spans="1:6">
      <c r="A44" s="91"/>
      <c r="B44" s="82"/>
      <c r="C44" s="82"/>
      <c r="D44" s="82"/>
      <c r="E44" s="82"/>
      <c r="F44" s="92"/>
    </row>
    <row r="45" spans="1:6">
      <c r="A45" s="97" t="str">
        <f>CONCATENATE("Responsible Person: ",Sprint13!C20)</f>
        <v>Responsible Person: Leo</v>
      </c>
      <c r="B45" s="79"/>
      <c r="C45" s="79"/>
      <c r="D45" s="79"/>
      <c r="E45" s="79"/>
      <c r="F45" s="98"/>
    </row>
    <row r="46" spans="1:6" ht="26.25" thickBot="1">
      <c r="A46" s="93" t="s">
        <v>88</v>
      </c>
      <c r="B46" s="100">
        <v>0.2</v>
      </c>
      <c r="C46" s="95" t="s">
        <v>93</v>
      </c>
      <c r="D46" s="94"/>
      <c r="E46" s="95" t="s">
        <v>92</v>
      </c>
      <c r="F46" s="96"/>
    </row>
    <row r="48" spans="1:6" ht="13.5" thickBot="1"/>
    <row r="49" spans="1:6">
      <c r="A49" s="83" t="s">
        <v>89</v>
      </c>
      <c r="B49" s="99">
        <v>11</v>
      </c>
      <c r="C49" s="84" t="s">
        <v>90</v>
      </c>
      <c r="D49" s="85" t="s">
        <v>268</v>
      </c>
      <c r="E49" s="85"/>
      <c r="F49" s="86"/>
    </row>
    <row r="50" spans="1:6">
      <c r="A50" s="87" t="s">
        <v>91</v>
      </c>
      <c r="B50" s="80" t="s">
        <v>233</v>
      </c>
      <c r="C50" s="80"/>
      <c r="D50" s="80"/>
      <c r="E50" s="80"/>
      <c r="F50" s="88"/>
    </row>
    <row r="51" spans="1:6">
      <c r="A51" s="89"/>
      <c r="B51" s="81"/>
      <c r="C51" s="81"/>
      <c r="D51" s="81"/>
      <c r="E51" s="81"/>
      <c r="F51" s="90"/>
    </row>
    <row r="52" spans="1:6">
      <c r="A52" s="91"/>
      <c r="B52" s="82"/>
      <c r="C52" s="82"/>
      <c r="D52" s="82"/>
      <c r="E52" s="82"/>
      <c r="F52" s="92"/>
    </row>
    <row r="53" spans="1:6">
      <c r="A53" s="97" t="str">
        <f>CONCATENATE("Responsible Person: ",Sprint13!C21)</f>
        <v>Responsible Person: Leo</v>
      </c>
      <c r="B53" s="79"/>
      <c r="C53" s="79"/>
      <c r="D53" s="79"/>
      <c r="E53" s="79"/>
      <c r="F53" s="98"/>
    </row>
    <row r="54" spans="1:6" ht="26.25" thickBot="1">
      <c r="A54" s="93" t="s">
        <v>88</v>
      </c>
      <c r="B54" s="100">
        <v>0.2</v>
      </c>
      <c r="C54" s="95" t="s">
        <v>93</v>
      </c>
      <c r="D54" s="94"/>
      <c r="E54" s="95" t="s">
        <v>92</v>
      </c>
      <c r="F54" s="96"/>
    </row>
    <row r="56" spans="1:6" ht="13.5" thickBot="1"/>
    <row r="57" spans="1:6">
      <c r="A57" s="83" t="s">
        <v>89</v>
      </c>
      <c r="B57" s="99">
        <v>11</v>
      </c>
      <c r="C57" s="84" t="s">
        <v>90</v>
      </c>
      <c r="D57" s="85" t="s">
        <v>268</v>
      </c>
      <c r="E57" s="85"/>
      <c r="F57" s="86"/>
    </row>
    <row r="58" spans="1:6">
      <c r="A58" s="87" t="s">
        <v>91</v>
      </c>
      <c r="B58" s="80" t="s">
        <v>235</v>
      </c>
      <c r="C58" s="80"/>
      <c r="D58" s="80"/>
      <c r="E58" s="80"/>
      <c r="F58" s="88"/>
    </row>
    <row r="59" spans="1:6">
      <c r="A59" s="89"/>
      <c r="B59" s="81"/>
      <c r="C59" s="81"/>
      <c r="D59" s="81"/>
      <c r="E59" s="81"/>
      <c r="F59" s="90"/>
    </row>
    <row r="60" spans="1:6">
      <c r="A60" s="91"/>
      <c r="B60" s="82"/>
      <c r="C60" s="82"/>
      <c r="D60" s="82"/>
      <c r="E60" s="82"/>
      <c r="F60" s="92"/>
    </row>
    <row r="61" spans="1:6">
      <c r="A61" s="97" t="str">
        <f>CONCATENATE("Responsible Person: ",Sprint13!C22)</f>
        <v>Responsible Person: Leo</v>
      </c>
      <c r="B61" s="79"/>
      <c r="C61" s="79"/>
      <c r="D61" s="79"/>
      <c r="E61" s="79"/>
      <c r="F61" s="98"/>
    </row>
    <row r="62" spans="1:6" ht="26.25" thickBot="1">
      <c r="A62" s="93" t="s">
        <v>88</v>
      </c>
      <c r="B62" s="100">
        <v>2</v>
      </c>
      <c r="C62" s="95" t="s">
        <v>93</v>
      </c>
      <c r="D62" s="94"/>
      <c r="E62" s="95" t="s">
        <v>92</v>
      </c>
      <c r="F62" s="96"/>
    </row>
    <row r="64" spans="1:6" ht="13.5" thickBot="1"/>
    <row r="65" spans="1:6">
      <c r="A65" s="83" t="s">
        <v>89</v>
      </c>
      <c r="B65" s="99">
        <v>11</v>
      </c>
      <c r="C65" s="84" t="s">
        <v>90</v>
      </c>
      <c r="D65" s="85" t="s">
        <v>268</v>
      </c>
      <c r="E65" s="85"/>
      <c r="F65" s="86"/>
    </row>
    <row r="66" spans="1:6">
      <c r="A66" s="87" t="s">
        <v>91</v>
      </c>
      <c r="B66" s="80" t="s">
        <v>240</v>
      </c>
      <c r="C66" s="80"/>
      <c r="D66" s="80"/>
      <c r="E66" s="80"/>
      <c r="F66" s="88"/>
    </row>
    <row r="67" spans="1:6">
      <c r="A67" s="89"/>
      <c r="B67" s="81"/>
      <c r="C67" s="81"/>
      <c r="D67" s="81"/>
      <c r="E67" s="81"/>
      <c r="F67" s="90"/>
    </row>
    <row r="68" spans="1:6">
      <c r="A68" s="91"/>
      <c r="B68" s="82"/>
      <c r="C68" s="82"/>
      <c r="D68" s="82"/>
      <c r="E68" s="82"/>
      <c r="F68" s="92"/>
    </row>
    <row r="69" spans="1:6">
      <c r="A69" s="97" t="str">
        <f>CONCATENATE("Responsible Person: ",Sprint13!C23)</f>
        <v>Responsible Person: Contractor</v>
      </c>
      <c r="B69" s="79"/>
      <c r="C69" s="79"/>
      <c r="D69" s="79"/>
      <c r="E69" s="79"/>
      <c r="F69" s="98"/>
    </row>
    <row r="70" spans="1:6" ht="26.25" thickBot="1">
      <c r="A70" s="93" t="s">
        <v>88</v>
      </c>
      <c r="B70" s="100">
        <v>5</v>
      </c>
      <c r="C70" s="95" t="s">
        <v>93</v>
      </c>
      <c r="D70" s="94"/>
      <c r="E70" s="95" t="s">
        <v>92</v>
      </c>
      <c r="F70" s="96"/>
    </row>
    <row r="72" spans="1:6" ht="13.5" thickBot="1"/>
    <row r="73" spans="1:6">
      <c r="A73" s="83" t="s">
        <v>89</v>
      </c>
      <c r="B73" s="99">
        <v>11</v>
      </c>
      <c r="C73" s="84" t="s">
        <v>90</v>
      </c>
      <c r="D73" s="85" t="s">
        <v>268</v>
      </c>
      <c r="E73" s="85"/>
      <c r="F73" s="86"/>
    </row>
    <row r="74" spans="1:6">
      <c r="A74" s="87" t="s">
        <v>91</v>
      </c>
      <c r="B74" s="80" t="s">
        <v>241</v>
      </c>
      <c r="C74" s="80"/>
      <c r="D74" s="80"/>
      <c r="E74" s="80"/>
      <c r="F74" s="88"/>
    </row>
    <row r="75" spans="1:6">
      <c r="A75" s="89"/>
      <c r="B75" s="81"/>
      <c r="C75" s="81"/>
      <c r="D75" s="81"/>
      <c r="E75" s="81"/>
      <c r="F75" s="90"/>
    </row>
    <row r="76" spans="1:6">
      <c r="A76" s="91"/>
      <c r="B76" s="82"/>
      <c r="C76" s="82"/>
      <c r="D76" s="82"/>
      <c r="E76" s="82"/>
      <c r="F76" s="92"/>
    </row>
    <row r="77" spans="1:6">
      <c r="A77" s="97" t="str">
        <f>CONCATENATE("Responsible Person: ",Sprint13!C24)</f>
        <v>Responsible Person: Contractor</v>
      </c>
      <c r="B77" s="79"/>
      <c r="C77" s="79"/>
      <c r="D77" s="79"/>
      <c r="E77" s="79"/>
      <c r="F77" s="98"/>
    </row>
    <row r="78" spans="1:6" ht="26.25" thickBot="1">
      <c r="A78" s="93" t="s">
        <v>88</v>
      </c>
      <c r="B78" s="100">
        <v>0.2</v>
      </c>
      <c r="C78" s="95" t="s">
        <v>93</v>
      </c>
      <c r="D78" s="94"/>
      <c r="E78" s="95" t="s">
        <v>92</v>
      </c>
      <c r="F78" s="96"/>
    </row>
    <row r="80" spans="1:6" ht="13.5" thickBot="1"/>
    <row r="81" spans="1:6">
      <c r="A81" s="83" t="s">
        <v>89</v>
      </c>
      <c r="B81" s="99">
        <v>11</v>
      </c>
      <c r="C81" s="84" t="s">
        <v>90</v>
      </c>
      <c r="D81" s="85" t="s">
        <v>268</v>
      </c>
      <c r="E81" s="85"/>
      <c r="F81" s="86"/>
    </row>
    <row r="82" spans="1:6">
      <c r="A82" s="87" t="s">
        <v>91</v>
      </c>
      <c r="B82" s="80" t="s">
        <v>242</v>
      </c>
      <c r="C82" s="80"/>
      <c r="D82" s="80"/>
      <c r="E82" s="80"/>
      <c r="F82" s="88"/>
    </row>
    <row r="83" spans="1:6">
      <c r="A83" s="89"/>
      <c r="B83" s="81"/>
      <c r="C83" s="81"/>
      <c r="D83" s="81"/>
      <c r="E83" s="81"/>
      <c r="F83" s="90"/>
    </row>
    <row r="84" spans="1:6">
      <c r="A84" s="91"/>
      <c r="B84" s="82"/>
      <c r="C84" s="82"/>
      <c r="D84" s="82"/>
      <c r="E84" s="82"/>
      <c r="F84" s="92"/>
    </row>
    <row r="85" spans="1:6">
      <c r="A85" s="97" t="str">
        <f>CONCATENATE("Responsible Person: ",Sprint13!C25)</f>
        <v>Responsible Person: Contractor</v>
      </c>
      <c r="B85" s="79"/>
      <c r="C85" s="79"/>
      <c r="D85" s="79"/>
      <c r="E85" s="79"/>
      <c r="F85" s="98"/>
    </row>
    <row r="86" spans="1:6" ht="26.25" thickBot="1">
      <c r="A86" s="93" t="s">
        <v>88</v>
      </c>
      <c r="B86" s="100">
        <v>0.2</v>
      </c>
      <c r="C86" s="95" t="s">
        <v>93</v>
      </c>
      <c r="D86" s="94"/>
      <c r="E86" s="95" t="s">
        <v>92</v>
      </c>
      <c r="F86" s="96"/>
    </row>
    <row r="88" spans="1:6" ht="13.5" thickBot="1"/>
    <row r="89" spans="1:6">
      <c r="A89" s="83" t="s">
        <v>89</v>
      </c>
      <c r="B89" s="99">
        <v>11</v>
      </c>
      <c r="C89" s="84" t="s">
        <v>90</v>
      </c>
      <c r="D89" s="85" t="s">
        <v>268</v>
      </c>
      <c r="E89" s="85"/>
      <c r="F89" s="86"/>
    </row>
    <row r="90" spans="1:6">
      <c r="A90" s="87" t="s">
        <v>91</v>
      </c>
      <c r="B90" s="80" t="s">
        <v>243</v>
      </c>
      <c r="C90" s="80"/>
      <c r="D90" s="80"/>
      <c r="E90" s="80"/>
      <c r="F90" s="88"/>
    </row>
    <row r="91" spans="1:6">
      <c r="A91" s="89"/>
      <c r="B91" s="81"/>
      <c r="C91" s="81"/>
      <c r="D91" s="81"/>
      <c r="E91" s="81"/>
      <c r="F91" s="90"/>
    </row>
    <row r="92" spans="1:6">
      <c r="A92" s="91"/>
      <c r="B92" s="82"/>
      <c r="C92" s="82"/>
      <c r="D92" s="82"/>
      <c r="E92" s="82"/>
      <c r="F92" s="92"/>
    </row>
    <row r="93" spans="1:6">
      <c r="A93" s="97" t="str">
        <f>CONCATENATE("Responsible Person: ",Sprint13!C26)</f>
        <v>Responsible Person: Contractor</v>
      </c>
      <c r="B93" s="79"/>
      <c r="C93" s="79"/>
      <c r="D93" s="79"/>
      <c r="E93" s="79"/>
      <c r="F93" s="98"/>
    </row>
    <row r="94" spans="1:6" ht="26.25" thickBot="1">
      <c r="A94" s="93" t="s">
        <v>88</v>
      </c>
      <c r="B94" s="100">
        <v>0.2</v>
      </c>
      <c r="C94" s="95" t="s">
        <v>93</v>
      </c>
      <c r="D94" s="94"/>
      <c r="E94" s="95" t="s">
        <v>92</v>
      </c>
      <c r="F94" s="96"/>
    </row>
    <row r="96" spans="1:6" ht="13.5" thickBot="1"/>
    <row r="97" spans="1:6">
      <c r="A97" s="83" t="s">
        <v>89</v>
      </c>
      <c r="B97" s="99">
        <v>11</v>
      </c>
      <c r="C97" s="84" t="s">
        <v>90</v>
      </c>
      <c r="D97" s="85" t="s">
        <v>268</v>
      </c>
      <c r="E97" s="85"/>
      <c r="F97" s="86"/>
    </row>
    <row r="98" spans="1:6">
      <c r="A98" s="87" t="s">
        <v>91</v>
      </c>
      <c r="B98" s="80" t="s">
        <v>244</v>
      </c>
      <c r="C98" s="80"/>
      <c r="D98" s="80"/>
      <c r="E98" s="80"/>
      <c r="F98" s="88"/>
    </row>
    <row r="99" spans="1:6">
      <c r="A99" s="89"/>
      <c r="B99" s="81"/>
      <c r="C99" s="81"/>
      <c r="D99" s="81"/>
      <c r="E99" s="81"/>
      <c r="F99" s="90"/>
    </row>
    <row r="100" spans="1:6">
      <c r="A100" s="91"/>
      <c r="B100" s="82"/>
      <c r="C100" s="82"/>
      <c r="D100" s="82"/>
      <c r="E100" s="82"/>
      <c r="F100" s="92"/>
    </row>
    <row r="101" spans="1:6">
      <c r="A101" s="97" t="str">
        <f>CONCATENATE("Responsible Person: ",Sprint13!C27)</f>
        <v>Responsible Person: Lisa, Contractor</v>
      </c>
      <c r="B101" s="79"/>
      <c r="C101" s="79"/>
      <c r="D101" s="79"/>
      <c r="E101" s="79"/>
      <c r="F101" s="98"/>
    </row>
    <row r="102" spans="1:6" ht="26.25" thickBot="1">
      <c r="A102" s="93" t="s">
        <v>88</v>
      </c>
      <c r="B102" s="100">
        <v>1.3</v>
      </c>
      <c r="C102" s="95" t="s">
        <v>93</v>
      </c>
      <c r="D102" s="94"/>
      <c r="E102" s="95" t="s">
        <v>92</v>
      </c>
      <c r="F102" s="96"/>
    </row>
    <row r="104" spans="1:6" ht="13.5" thickBot="1"/>
    <row r="105" spans="1:6">
      <c r="A105" s="83" t="s">
        <v>89</v>
      </c>
      <c r="B105" s="99">
        <v>11</v>
      </c>
      <c r="C105" s="84" t="s">
        <v>90</v>
      </c>
      <c r="D105" s="85" t="s">
        <v>268</v>
      </c>
      <c r="E105" s="85"/>
      <c r="F105" s="86"/>
    </row>
    <row r="106" spans="1:6">
      <c r="A106" s="87" t="s">
        <v>91</v>
      </c>
      <c r="B106" s="80" t="s">
        <v>245</v>
      </c>
      <c r="C106" s="80"/>
      <c r="D106" s="80"/>
      <c r="E106" s="80"/>
      <c r="F106" s="88"/>
    </row>
    <row r="107" spans="1:6">
      <c r="A107" s="89"/>
      <c r="B107" s="81"/>
      <c r="C107" s="81"/>
      <c r="D107" s="81"/>
      <c r="E107" s="81"/>
      <c r="F107" s="90"/>
    </row>
    <row r="108" spans="1:6">
      <c r="A108" s="91"/>
      <c r="B108" s="82"/>
      <c r="C108" s="82"/>
      <c r="D108" s="82"/>
      <c r="E108" s="82"/>
      <c r="F108" s="92"/>
    </row>
    <row r="109" spans="1:6">
      <c r="A109" s="97" t="str">
        <f>CONCATENATE("Responsible Person: ",Sprint13!C28)</f>
        <v>Responsible Person: Leo</v>
      </c>
      <c r="B109" s="79"/>
      <c r="C109" s="79"/>
      <c r="D109" s="79"/>
      <c r="E109" s="79"/>
      <c r="F109" s="98"/>
    </row>
    <row r="110" spans="1:6" ht="26.25" thickBot="1">
      <c r="A110" s="93" t="s">
        <v>88</v>
      </c>
      <c r="B110" s="100">
        <v>4</v>
      </c>
      <c r="C110" s="95" t="s">
        <v>93</v>
      </c>
      <c r="D110" s="94"/>
      <c r="E110" s="95" t="s">
        <v>92</v>
      </c>
      <c r="F110" s="96"/>
    </row>
    <row r="112" spans="1:6" ht="13.5" thickBot="1"/>
    <row r="113" spans="1:6">
      <c r="A113" s="83" t="s">
        <v>89</v>
      </c>
      <c r="B113" s="99">
        <v>11</v>
      </c>
      <c r="C113" s="84" t="s">
        <v>90</v>
      </c>
      <c r="D113" s="85" t="s">
        <v>268</v>
      </c>
      <c r="E113" s="85"/>
      <c r="F113" s="86"/>
    </row>
    <row r="114" spans="1:6">
      <c r="A114" s="87" t="s">
        <v>91</v>
      </c>
      <c r="B114" s="80" t="s">
        <v>246</v>
      </c>
      <c r="C114" s="80"/>
      <c r="D114" s="80"/>
      <c r="E114" s="80"/>
      <c r="F114" s="88"/>
    </row>
    <row r="115" spans="1:6">
      <c r="A115" s="89"/>
      <c r="B115" s="81"/>
      <c r="C115" s="81"/>
      <c r="D115" s="81"/>
      <c r="E115" s="81"/>
      <c r="F115" s="90"/>
    </row>
    <row r="116" spans="1:6">
      <c r="A116" s="91"/>
      <c r="B116" s="82"/>
      <c r="C116" s="82"/>
      <c r="D116" s="82"/>
      <c r="E116" s="82"/>
      <c r="F116" s="92"/>
    </row>
    <row r="117" spans="1:6">
      <c r="A117" s="97" t="str">
        <f>CONCATENATE("Responsible Person: ",Sprint13!C29)</f>
        <v>Responsible Person: Leo</v>
      </c>
      <c r="B117" s="79"/>
      <c r="C117" s="79"/>
      <c r="D117" s="79"/>
      <c r="E117" s="79"/>
      <c r="F117" s="98"/>
    </row>
    <row r="118" spans="1:6" ht="26.25" thickBot="1">
      <c r="A118" s="93" t="s">
        <v>88</v>
      </c>
      <c r="B118" s="100">
        <v>0.5</v>
      </c>
      <c r="C118" s="95" t="s">
        <v>93</v>
      </c>
      <c r="D118" s="94"/>
      <c r="E118" s="95" t="s">
        <v>92</v>
      </c>
      <c r="F118" s="96"/>
    </row>
    <row r="120" spans="1:6" ht="13.5" thickBot="1"/>
    <row r="121" spans="1:6">
      <c r="A121" s="83" t="s">
        <v>89</v>
      </c>
      <c r="B121" s="99">
        <v>13</v>
      </c>
      <c r="C121" s="84" t="s">
        <v>90</v>
      </c>
      <c r="D121" s="85" t="s">
        <v>267</v>
      </c>
      <c r="E121" s="85"/>
      <c r="F121" s="86"/>
    </row>
    <row r="122" spans="1:6">
      <c r="A122" s="87" t="s">
        <v>91</v>
      </c>
      <c r="B122" s="80" t="s">
        <v>247</v>
      </c>
      <c r="C122" s="80"/>
      <c r="D122" s="80"/>
      <c r="E122" s="80"/>
      <c r="F122" s="88"/>
    </row>
    <row r="123" spans="1:6">
      <c r="A123" s="89"/>
      <c r="B123" s="81"/>
      <c r="C123" s="81"/>
      <c r="D123" s="81"/>
      <c r="E123" s="81"/>
      <c r="F123" s="90"/>
    </row>
    <row r="124" spans="1:6">
      <c r="A124" s="91"/>
      <c r="B124" s="82"/>
      <c r="C124" s="82"/>
      <c r="D124" s="82"/>
      <c r="E124" s="82"/>
      <c r="F124" s="92"/>
    </row>
    <row r="125" spans="1:6">
      <c r="A125" s="97" t="str">
        <f>CONCATENATE("Responsible Person: ",Sprint13!C30)</f>
        <v>Responsible Person: Leo</v>
      </c>
      <c r="B125" s="79"/>
      <c r="C125" s="79"/>
      <c r="D125" s="79"/>
      <c r="E125" s="79"/>
      <c r="F125" s="98"/>
    </row>
    <row r="126" spans="1:6" ht="26.25" thickBot="1">
      <c r="A126" s="93" t="s">
        <v>88</v>
      </c>
      <c r="B126" s="100">
        <v>0.4</v>
      </c>
      <c r="C126" s="95" t="s">
        <v>93</v>
      </c>
      <c r="D126" s="94"/>
      <c r="E126" s="95" t="s">
        <v>92</v>
      </c>
      <c r="F126" s="96"/>
    </row>
    <row r="128" spans="1:6" ht="13.5" thickBot="1"/>
    <row r="129" spans="1:6">
      <c r="A129" s="83" t="s">
        <v>89</v>
      </c>
      <c r="B129" s="99">
        <v>13</v>
      </c>
      <c r="C129" s="84" t="s">
        <v>90</v>
      </c>
      <c r="D129" s="85" t="s">
        <v>267</v>
      </c>
      <c r="E129" s="85"/>
      <c r="F129" s="86"/>
    </row>
    <row r="130" spans="1:6">
      <c r="A130" s="87" t="s">
        <v>91</v>
      </c>
      <c r="B130" s="80" t="s">
        <v>248</v>
      </c>
      <c r="C130" s="80"/>
      <c r="D130" s="80"/>
      <c r="E130" s="80"/>
      <c r="F130" s="88"/>
    </row>
    <row r="131" spans="1:6">
      <c r="A131" s="89"/>
      <c r="B131" s="81"/>
      <c r="C131" s="81"/>
      <c r="D131" s="81"/>
      <c r="E131" s="81"/>
      <c r="F131" s="90"/>
    </row>
    <row r="132" spans="1:6">
      <c r="A132" s="91"/>
      <c r="B132" s="82"/>
      <c r="C132" s="82"/>
      <c r="D132" s="82"/>
      <c r="E132" s="82"/>
      <c r="F132" s="92"/>
    </row>
    <row r="133" spans="1:6">
      <c r="A133" s="97" t="str">
        <f>CONCATENATE("Responsible Person: ",Sprint13!C31)</f>
        <v>Responsible Person: Leo</v>
      </c>
      <c r="B133" s="79"/>
      <c r="C133" s="79"/>
      <c r="D133" s="79"/>
      <c r="E133" s="79"/>
      <c r="F133" s="98"/>
    </row>
    <row r="134" spans="1:6" ht="26.25" thickBot="1">
      <c r="A134" s="93" t="s">
        <v>88</v>
      </c>
      <c r="B134" s="100">
        <v>0.6</v>
      </c>
      <c r="C134" s="95" t="s">
        <v>93</v>
      </c>
      <c r="D134" s="94"/>
      <c r="E134" s="95" t="s">
        <v>92</v>
      </c>
      <c r="F134" s="96"/>
    </row>
    <row r="136" spans="1:6" ht="13.5" thickBot="1"/>
    <row r="137" spans="1:6">
      <c r="A137" s="83" t="s">
        <v>89</v>
      </c>
      <c r="B137" s="99">
        <v>12</v>
      </c>
      <c r="C137" s="84" t="s">
        <v>90</v>
      </c>
      <c r="D137" s="85" t="s">
        <v>215</v>
      </c>
      <c r="E137" s="85"/>
      <c r="F137" s="86"/>
    </row>
    <row r="138" spans="1:6">
      <c r="A138" s="87" t="s">
        <v>91</v>
      </c>
      <c r="B138" s="80" t="s">
        <v>249</v>
      </c>
      <c r="C138" s="80"/>
      <c r="D138" s="80"/>
      <c r="E138" s="80"/>
      <c r="F138" s="88"/>
    </row>
    <row r="139" spans="1:6">
      <c r="A139" s="89"/>
      <c r="B139" s="81"/>
      <c r="C139" s="81"/>
      <c r="D139" s="81"/>
      <c r="E139" s="81"/>
      <c r="F139" s="90"/>
    </row>
    <row r="140" spans="1:6">
      <c r="A140" s="91"/>
      <c r="B140" s="82"/>
      <c r="C140" s="82"/>
      <c r="D140" s="82"/>
      <c r="E140" s="82"/>
      <c r="F140" s="92"/>
    </row>
    <row r="141" spans="1:6">
      <c r="A141" s="97" t="str">
        <f>CONCATENATE("Responsible Person: ",Sprint13!C32)</f>
        <v>Responsible Person: Leo</v>
      </c>
      <c r="B141" s="79"/>
      <c r="C141" s="79"/>
      <c r="D141" s="79"/>
      <c r="E141" s="79"/>
      <c r="F141" s="98"/>
    </row>
    <row r="142" spans="1:6" ht="26.25" thickBot="1">
      <c r="A142" s="93" t="s">
        <v>88</v>
      </c>
      <c r="B142" s="100">
        <v>0.6</v>
      </c>
      <c r="C142" s="95" t="s">
        <v>93</v>
      </c>
      <c r="D142" s="94"/>
      <c r="E142" s="95" t="s">
        <v>92</v>
      </c>
      <c r="F142" s="96"/>
    </row>
    <row r="144" spans="1:6" ht="13.5" thickBot="1"/>
    <row r="145" spans="1:6">
      <c r="A145" s="83" t="s">
        <v>89</v>
      </c>
      <c r="B145" s="99">
        <v>12</v>
      </c>
      <c r="C145" s="84" t="s">
        <v>90</v>
      </c>
      <c r="D145" s="85" t="s">
        <v>215</v>
      </c>
      <c r="E145" s="85"/>
      <c r="F145" s="86"/>
    </row>
    <row r="146" spans="1:6">
      <c r="A146" s="87" t="s">
        <v>91</v>
      </c>
      <c r="B146" s="80" t="s">
        <v>250</v>
      </c>
      <c r="C146" s="80"/>
      <c r="D146" s="80"/>
      <c r="E146" s="80"/>
      <c r="F146" s="88"/>
    </row>
    <row r="147" spans="1:6">
      <c r="A147" s="89"/>
      <c r="B147" s="81"/>
      <c r="C147" s="81"/>
      <c r="D147" s="81"/>
      <c r="E147" s="81"/>
      <c r="F147" s="90"/>
    </row>
    <row r="148" spans="1:6">
      <c r="A148" s="91"/>
      <c r="B148" s="82"/>
      <c r="C148" s="82"/>
      <c r="D148" s="82"/>
      <c r="E148" s="82"/>
      <c r="F148" s="92"/>
    </row>
    <row r="149" spans="1:6">
      <c r="A149" s="97" t="str">
        <f>CONCATENATE("Responsible Person: ",Sprint13!C33)</f>
        <v>Responsible Person: Leo</v>
      </c>
      <c r="B149" s="79"/>
      <c r="C149" s="79"/>
      <c r="D149" s="79"/>
      <c r="E149" s="79"/>
      <c r="F149" s="98"/>
    </row>
    <row r="150" spans="1:6" ht="26.25" thickBot="1">
      <c r="A150" s="93" t="s">
        <v>88</v>
      </c>
      <c r="B150" s="100">
        <v>0.6</v>
      </c>
      <c r="C150" s="95" t="s">
        <v>93</v>
      </c>
      <c r="D150" s="94"/>
      <c r="E150" s="95" t="s">
        <v>92</v>
      </c>
      <c r="F150" s="96"/>
    </row>
    <row r="152" spans="1:6" ht="13.5" thickBot="1"/>
    <row r="153" spans="1:6">
      <c r="A153" s="83" t="s">
        <v>89</v>
      </c>
      <c r="B153" s="99">
        <v>12</v>
      </c>
      <c r="C153" s="84" t="s">
        <v>90</v>
      </c>
      <c r="D153" s="85" t="s">
        <v>215</v>
      </c>
      <c r="E153" s="85"/>
      <c r="F153" s="86"/>
    </row>
    <row r="154" spans="1:6">
      <c r="A154" s="87" t="s">
        <v>91</v>
      </c>
      <c r="B154" s="80" t="s">
        <v>251</v>
      </c>
      <c r="C154" s="80"/>
      <c r="D154" s="80"/>
      <c r="E154" s="80"/>
      <c r="F154" s="88"/>
    </row>
    <row r="155" spans="1:6">
      <c r="A155" s="89"/>
      <c r="B155" s="81"/>
      <c r="C155" s="81"/>
      <c r="D155" s="81"/>
      <c r="E155" s="81"/>
      <c r="F155" s="90"/>
    </row>
    <row r="156" spans="1:6">
      <c r="A156" s="91"/>
      <c r="B156" s="82"/>
      <c r="C156" s="82"/>
      <c r="D156" s="82"/>
      <c r="E156" s="82"/>
      <c r="F156" s="92"/>
    </row>
    <row r="157" spans="1:6">
      <c r="A157" s="97" t="str">
        <f>CONCATENATE("Responsible Person: ",Sprint13!C34)</f>
        <v>Responsible Person: Leo</v>
      </c>
      <c r="B157" s="79"/>
      <c r="C157" s="79"/>
      <c r="D157" s="79"/>
      <c r="E157" s="79"/>
      <c r="F157" s="98"/>
    </row>
    <row r="158" spans="1:6" ht="26.25" thickBot="1">
      <c r="A158" s="93" t="s">
        <v>88</v>
      </c>
      <c r="B158" s="100">
        <v>0.6</v>
      </c>
      <c r="C158" s="95" t="s">
        <v>93</v>
      </c>
      <c r="D158" s="94"/>
      <c r="E158" s="95" t="s">
        <v>92</v>
      </c>
      <c r="F158" s="96"/>
    </row>
    <row r="160" spans="1:6" ht="13.5" thickBot="1"/>
    <row r="161" spans="1:6">
      <c r="A161" s="83" t="s">
        <v>89</v>
      </c>
      <c r="B161" s="99">
        <v>12</v>
      </c>
      <c r="C161" s="84" t="s">
        <v>90</v>
      </c>
      <c r="D161" s="85" t="s">
        <v>215</v>
      </c>
      <c r="E161" s="85"/>
      <c r="F161" s="86"/>
    </row>
    <row r="162" spans="1:6">
      <c r="A162" s="87" t="s">
        <v>91</v>
      </c>
      <c r="B162" s="80" t="s">
        <v>252</v>
      </c>
      <c r="C162" s="80"/>
      <c r="D162" s="80"/>
      <c r="E162" s="80"/>
      <c r="F162" s="88"/>
    </row>
    <row r="163" spans="1:6">
      <c r="A163" s="89"/>
      <c r="B163" s="81"/>
      <c r="C163" s="81"/>
      <c r="D163" s="81"/>
      <c r="E163" s="81"/>
      <c r="F163" s="90"/>
    </row>
    <row r="164" spans="1:6">
      <c r="A164" s="91"/>
      <c r="B164" s="82"/>
      <c r="C164" s="82"/>
      <c r="D164" s="82"/>
      <c r="E164" s="82"/>
      <c r="F164" s="92"/>
    </row>
    <row r="165" spans="1:6">
      <c r="A165" s="97" t="str">
        <f>CONCATENATE("Responsible Person: ",Sprint13!C35)</f>
        <v>Responsible Person: Leo</v>
      </c>
      <c r="B165" s="79"/>
      <c r="C165" s="79"/>
      <c r="D165" s="79"/>
      <c r="E165" s="79"/>
      <c r="F165" s="98"/>
    </row>
    <row r="166" spans="1:6" ht="26.25" thickBot="1">
      <c r="A166" s="93" t="s">
        <v>88</v>
      </c>
      <c r="B166" s="100">
        <v>0.8</v>
      </c>
      <c r="C166" s="95" t="s">
        <v>93</v>
      </c>
      <c r="D166" s="94"/>
      <c r="E166" s="95" t="s">
        <v>92</v>
      </c>
      <c r="F166" s="96"/>
    </row>
    <row r="168" spans="1:6" ht="13.5" thickBot="1"/>
    <row r="169" spans="1:6">
      <c r="A169" s="83" t="s">
        <v>89</v>
      </c>
      <c r="B169" s="99">
        <v>11</v>
      </c>
      <c r="C169" s="84" t="s">
        <v>90</v>
      </c>
      <c r="D169" s="85" t="s">
        <v>268</v>
      </c>
      <c r="E169" s="85"/>
      <c r="F169" s="86"/>
    </row>
    <row r="170" spans="1:6">
      <c r="A170" s="87" t="s">
        <v>91</v>
      </c>
      <c r="B170" s="80" t="s">
        <v>253</v>
      </c>
      <c r="C170" s="80"/>
      <c r="D170" s="80"/>
      <c r="E170" s="80"/>
      <c r="F170" s="88"/>
    </row>
    <row r="171" spans="1:6">
      <c r="A171" s="89"/>
      <c r="B171" s="81"/>
      <c r="C171" s="81"/>
      <c r="D171" s="81"/>
      <c r="E171" s="81"/>
      <c r="F171" s="90"/>
    </row>
    <row r="172" spans="1:6">
      <c r="A172" s="91"/>
      <c r="B172" s="82"/>
      <c r="C172" s="82"/>
      <c r="D172" s="82"/>
      <c r="E172" s="82"/>
      <c r="F172" s="92"/>
    </row>
    <row r="173" spans="1:6">
      <c r="A173" s="97" t="str">
        <f>CONCATENATE("Responsible Person: ",Sprint13!C36)</f>
        <v>Responsible Person: Contractor</v>
      </c>
      <c r="B173" s="79"/>
      <c r="C173" s="79"/>
      <c r="D173" s="79"/>
      <c r="E173" s="79"/>
      <c r="F173" s="98"/>
    </row>
    <row r="174" spans="1:6" ht="26.25" thickBot="1">
      <c r="A174" s="93" t="s">
        <v>88</v>
      </c>
      <c r="B174" s="100">
        <v>0.4</v>
      </c>
      <c r="C174" s="95" t="s">
        <v>93</v>
      </c>
      <c r="D174" s="94"/>
      <c r="E174" s="95" t="s">
        <v>92</v>
      </c>
      <c r="F174" s="96"/>
    </row>
    <row r="176" spans="1:6" ht="13.5" thickBot="1"/>
    <row r="177" spans="1:6">
      <c r="A177" s="83" t="s">
        <v>89</v>
      </c>
      <c r="B177" s="99">
        <v>11</v>
      </c>
      <c r="C177" s="84" t="s">
        <v>90</v>
      </c>
      <c r="D177" s="85" t="s">
        <v>268</v>
      </c>
      <c r="E177" s="85"/>
      <c r="F177" s="86"/>
    </row>
    <row r="178" spans="1:6">
      <c r="A178" s="87" t="s">
        <v>91</v>
      </c>
      <c r="B178" s="80" t="s">
        <v>254</v>
      </c>
      <c r="C178" s="80"/>
      <c r="D178" s="80"/>
      <c r="E178" s="80"/>
      <c r="F178" s="88"/>
    </row>
    <row r="179" spans="1:6">
      <c r="A179" s="89"/>
      <c r="B179" s="81"/>
      <c r="C179" s="81"/>
      <c r="D179" s="81"/>
      <c r="E179" s="81"/>
      <c r="F179" s="90"/>
    </row>
    <row r="180" spans="1:6">
      <c r="A180" s="91"/>
      <c r="B180" s="82"/>
      <c r="C180" s="82"/>
      <c r="D180" s="82"/>
      <c r="E180" s="82"/>
      <c r="F180" s="92"/>
    </row>
    <row r="181" spans="1:6">
      <c r="A181" s="97" t="str">
        <f>CONCATENATE("Responsible Person: ",Sprint13!C37)</f>
        <v>Responsible Person: Contractor</v>
      </c>
      <c r="B181" s="79"/>
      <c r="C181" s="79"/>
      <c r="D181" s="79"/>
      <c r="E181" s="79"/>
      <c r="F181" s="98"/>
    </row>
    <row r="182" spans="1:6" ht="26.25" thickBot="1">
      <c r="A182" s="93" t="s">
        <v>88</v>
      </c>
      <c r="B182" s="100">
        <v>1.5</v>
      </c>
      <c r="C182" s="95" t="s">
        <v>93</v>
      </c>
      <c r="D182" s="94"/>
      <c r="E182" s="95" t="s">
        <v>92</v>
      </c>
      <c r="F182" s="96"/>
    </row>
    <row r="184" spans="1:6" ht="13.5" thickBot="1"/>
    <row r="185" spans="1:6">
      <c r="A185" s="83" t="s">
        <v>89</v>
      </c>
      <c r="B185" s="99">
        <v>11</v>
      </c>
      <c r="C185" s="84" t="s">
        <v>90</v>
      </c>
      <c r="D185" s="85" t="s">
        <v>268</v>
      </c>
      <c r="E185" s="85"/>
      <c r="F185" s="86"/>
    </row>
    <row r="186" spans="1:6">
      <c r="A186" s="87" t="s">
        <v>91</v>
      </c>
      <c r="B186" s="80" t="s">
        <v>266</v>
      </c>
      <c r="C186" s="80"/>
      <c r="D186" s="80"/>
      <c r="E186" s="80"/>
      <c r="F186" s="88"/>
    </row>
    <row r="187" spans="1:6">
      <c r="A187" s="89"/>
      <c r="B187" s="81"/>
      <c r="C187" s="81"/>
      <c r="D187" s="81"/>
      <c r="E187" s="81"/>
      <c r="F187" s="90"/>
    </row>
    <row r="188" spans="1:6">
      <c r="A188" s="91"/>
      <c r="B188" s="82"/>
      <c r="C188" s="82"/>
      <c r="D188" s="82"/>
      <c r="E188" s="82"/>
      <c r="F188" s="92"/>
    </row>
    <row r="189" spans="1:6">
      <c r="A189" s="97" t="str">
        <f>CONCATENATE("Responsible Person: ",Sprint13!C38)</f>
        <v>Responsible Person: Contractor</v>
      </c>
      <c r="B189" s="79"/>
      <c r="C189" s="79"/>
      <c r="D189" s="79"/>
      <c r="E189" s="79"/>
      <c r="F189" s="98"/>
    </row>
    <row r="190" spans="1:6" ht="26.25" thickBot="1">
      <c r="A190" s="93" t="s">
        <v>88</v>
      </c>
      <c r="B190" s="100">
        <v>0.5</v>
      </c>
      <c r="C190" s="95" t="s">
        <v>93</v>
      </c>
      <c r="D190" s="94"/>
      <c r="E190" s="95" t="s">
        <v>92</v>
      </c>
      <c r="F190" s="96"/>
    </row>
    <row r="192" spans="1:6" ht="13.5" thickBot="1"/>
    <row r="193" spans="1:6">
      <c r="A193" s="83" t="s">
        <v>89</v>
      </c>
      <c r="B193" s="99">
        <v>12</v>
      </c>
      <c r="C193" s="84" t="s">
        <v>90</v>
      </c>
      <c r="D193" s="85" t="s">
        <v>215</v>
      </c>
      <c r="E193" s="85"/>
      <c r="F193" s="86"/>
    </row>
    <row r="194" spans="1:6">
      <c r="A194" s="87" t="s">
        <v>91</v>
      </c>
      <c r="B194" s="80" t="s">
        <v>255</v>
      </c>
      <c r="C194" s="80"/>
      <c r="D194" s="80"/>
      <c r="E194" s="80"/>
      <c r="F194" s="88"/>
    </row>
    <row r="195" spans="1:6">
      <c r="A195" s="89"/>
      <c r="B195" s="81"/>
      <c r="C195" s="81"/>
      <c r="D195" s="81"/>
      <c r="E195" s="81"/>
      <c r="F195" s="90"/>
    </row>
    <row r="196" spans="1:6">
      <c r="A196" s="91"/>
      <c r="B196" s="82"/>
      <c r="C196" s="82"/>
      <c r="D196" s="82"/>
      <c r="E196" s="82"/>
      <c r="F196" s="92"/>
    </row>
    <row r="197" spans="1:6">
      <c r="A197" s="97" t="str">
        <f>CONCATENATE("Responsible Person: ",Sprint13!C39)</f>
        <v>Responsible Person: Leo</v>
      </c>
      <c r="B197" s="79"/>
      <c r="C197" s="79"/>
      <c r="D197" s="79"/>
      <c r="E197" s="79"/>
      <c r="F197" s="98"/>
    </row>
    <row r="198" spans="1:6" ht="26.25" thickBot="1">
      <c r="A198" s="93" t="s">
        <v>88</v>
      </c>
      <c r="B198" s="100">
        <v>0.5</v>
      </c>
      <c r="C198" s="95" t="s">
        <v>93</v>
      </c>
      <c r="D198" s="94"/>
      <c r="E198" s="95" t="s">
        <v>92</v>
      </c>
      <c r="F198" s="96"/>
    </row>
    <row r="200" spans="1:6" ht="13.5" thickBot="1"/>
    <row r="201" spans="1:6">
      <c r="A201" s="83" t="s">
        <v>89</v>
      </c>
      <c r="B201" s="99">
        <v>11</v>
      </c>
      <c r="C201" s="84" t="s">
        <v>90</v>
      </c>
      <c r="D201" s="85" t="s">
        <v>268</v>
      </c>
      <c r="E201" s="85"/>
      <c r="F201" s="86"/>
    </row>
    <row r="202" spans="1:6">
      <c r="A202" s="87" t="s">
        <v>91</v>
      </c>
      <c r="B202" s="80" t="s">
        <v>256</v>
      </c>
      <c r="C202" s="80"/>
      <c r="D202" s="80"/>
      <c r="E202" s="80"/>
      <c r="F202" s="88"/>
    </row>
    <row r="203" spans="1:6">
      <c r="A203" s="89"/>
      <c r="B203" s="81"/>
      <c r="C203" s="81"/>
      <c r="D203" s="81"/>
      <c r="E203" s="81"/>
      <c r="F203" s="90"/>
    </row>
    <row r="204" spans="1:6">
      <c r="A204" s="91"/>
      <c r="B204" s="82"/>
      <c r="C204" s="82"/>
      <c r="D204" s="82"/>
      <c r="E204" s="82"/>
      <c r="F204" s="92"/>
    </row>
    <row r="205" spans="1:6">
      <c r="A205" s="97" t="str">
        <f>CONCATENATE("Responsible Person: ",Sprint13!C40)</f>
        <v>Responsible Person: Leo</v>
      </c>
      <c r="B205" s="79"/>
      <c r="C205" s="79"/>
      <c r="D205" s="79"/>
      <c r="E205" s="79"/>
      <c r="F205" s="98"/>
    </row>
    <row r="206" spans="1:6" ht="26.25" thickBot="1">
      <c r="A206" s="93" t="s">
        <v>88</v>
      </c>
      <c r="B206" s="100">
        <v>0.5</v>
      </c>
      <c r="C206" s="95" t="s">
        <v>93</v>
      </c>
      <c r="D206" s="94"/>
      <c r="E206" s="95" t="s">
        <v>92</v>
      </c>
      <c r="F206" s="96"/>
    </row>
    <row r="208" spans="1:6" ht="13.5" thickBot="1"/>
    <row r="209" spans="1:6">
      <c r="A209" s="83" t="s">
        <v>89</v>
      </c>
      <c r="B209" s="99">
        <v>11</v>
      </c>
      <c r="C209" s="84" t="s">
        <v>90</v>
      </c>
      <c r="D209" s="85" t="s">
        <v>268</v>
      </c>
      <c r="E209" s="85"/>
      <c r="F209" s="86"/>
    </row>
    <row r="210" spans="1:6">
      <c r="A210" s="87" t="s">
        <v>91</v>
      </c>
      <c r="B210" s="80" t="s">
        <v>257</v>
      </c>
      <c r="C210" s="80"/>
      <c r="D210" s="80"/>
      <c r="E210" s="80"/>
      <c r="F210" s="88"/>
    </row>
    <row r="211" spans="1:6">
      <c r="A211" s="89"/>
      <c r="B211" s="81"/>
      <c r="C211" s="81"/>
      <c r="D211" s="81"/>
      <c r="E211" s="81"/>
      <c r="F211" s="90"/>
    </row>
    <row r="212" spans="1:6">
      <c r="A212" s="91"/>
      <c r="B212" s="82"/>
      <c r="C212" s="82"/>
      <c r="D212" s="82"/>
      <c r="E212" s="82"/>
      <c r="F212" s="92"/>
    </row>
    <row r="213" spans="1:6">
      <c r="A213" s="97" t="str">
        <f>CONCATENATE("Responsible Person: ",Sprint13!C41)</f>
        <v>Responsible Person: Leo</v>
      </c>
      <c r="B213" s="79"/>
      <c r="C213" s="79"/>
      <c r="D213" s="79"/>
      <c r="E213" s="79"/>
      <c r="F213" s="98"/>
    </row>
    <row r="214" spans="1:6" ht="26.25" thickBot="1">
      <c r="A214" s="93" t="s">
        <v>88</v>
      </c>
      <c r="B214" s="100">
        <v>0.5</v>
      </c>
      <c r="C214" s="95" t="s">
        <v>93</v>
      </c>
      <c r="D214" s="94"/>
      <c r="E214" s="95" t="s">
        <v>92</v>
      </c>
      <c r="F214" s="96"/>
    </row>
    <row r="216" spans="1:6" ht="13.5" thickBot="1"/>
    <row r="217" spans="1:6">
      <c r="A217" s="83" t="s">
        <v>89</v>
      </c>
      <c r="B217" s="99">
        <v>11</v>
      </c>
      <c r="C217" s="84" t="s">
        <v>90</v>
      </c>
      <c r="D217" s="85" t="s">
        <v>268</v>
      </c>
      <c r="E217" s="85"/>
      <c r="F217" s="86"/>
    </row>
    <row r="218" spans="1:6">
      <c r="A218" s="87" t="s">
        <v>91</v>
      </c>
      <c r="B218" s="80" t="s">
        <v>258</v>
      </c>
      <c r="C218" s="80"/>
      <c r="D218" s="80"/>
      <c r="E218" s="80"/>
      <c r="F218" s="88"/>
    </row>
    <row r="219" spans="1:6">
      <c r="A219" s="89"/>
      <c r="B219" s="81"/>
      <c r="C219" s="81"/>
      <c r="D219" s="81"/>
      <c r="E219" s="81"/>
      <c r="F219" s="90"/>
    </row>
    <row r="220" spans="1:6">
      <c r="A220" s="91"/>
      <c r="B220" s="82"/>
      <c r="C220" s="82"/>
      <c r="D220" s="82"/>
      <c r="E220" s="82"/>
      <c r="F220" s="92"/>
    </row>
    <row r="221" spans="1:6">
      <c r="A221" s="97" t="str">
        <f>CONCATENATE("Responsible Person: ",Sprint13!C42)</f>
        <v>Responsible Person: Leo</v>
      </c>
      <c r="B221" s="79"/>
      <c r="C221" s="79"/>
      <c r="D221" s="79"/>
      <c r="E221" s="79"/>
      <c r="F221" s="98"/>
    </row>
    <row r="222" spans="1:6" ht="26.25" thickBot="1">
      <c r="A222" s="93" t="s">
        <v>88</v>
      </c>
      <c r="B222" s="100">
        <v>0.6</v>
      </c>
      <c r="C222" s="95" t="s">
        <v>93</v>
      </c>
      <c r="D222" s="94"/>
      <c r="E222" s="95" t="s">
        <v>92</v>
      </c>
      <c r="F222" s="96"/>
    </row>
    <row r="224" spans="1:6" ht="13.5" thickBot="1"/>
    <row r="225" spans="1:6">
      <c r="A225" s="83" t="s">
        <v>89</v>
      </c>
      <c r="B225" s="99">
        <v>11</v>
      </c>
      <c r="C225" s="84" t="s">
        <v>90</v>
      </c>
      <c r="D225" s="85" t="s">
        <v>268</v>
      </c>
      <c r="E225" s="85"/>
      <c r="F225" s="86"/>
    </row>
    <row r="226" spans="1:6">
      <c r="A226" s="87" t="s">
        <v>91</v>
      </c>
      <c r="B226" s="80" t="s">
        <v>259</v>
      </c>
      <c r="C226" s="80"/>
      <c r="D226" s="80"/>
      <c r="E226" s="80"/>
      <c r="F226" s="88"/>
    </row>
    <row r="227" spans="1:6">
      <c r="A227" s="89"/>
      <c r="B227" s="81"/>
      <c r="C227" s="81"/>
      <c r="D227" s="81"/>
      <c r="E227" s="81"/>
      <c r="F227" s="90"/>
    </row>
    <row r="228" spans="1:6">
      <c r="A228" s="91"/>
      <c r="B228" s="82"/>
      <c r="C228" s="82"/>
      <c r="D228" s="82"/>
      <c r="E228" s="82"/>
      <c r="F228" s="92"/>
    </row>
    <row r="229" spans="1:6">
      <c r="A229" s="97" t="str">
        <f>CONCATENATE("Responsible Person: ",Sprint13!C43)</f>
        <v>Responsible Person: Leo</v>
      </c>
      <c r="B229" s="79"/>
      <c r="C229" s="79"/>
      <c r="D229" s="79"/>
      <c r="E229" s="79"/>
      <c r="F229" s="98"/>
    </row>
    <row r="230" spans="1:6" ht="26.25" thickBot="1">
      <c r="A230" s="93" t="s">
        <v>88</v>
      </c>
      <c r="B230" s="100">
        <v>4</v>
      </c>
      <c r="C230" s="95" t="s">
        <v>93</v>
      </c>
      <c r="D230" s="94"/>
      <c r="E230" s="95" t="s">
        <v>92</v>
      </c>
      <c r="F230" s="96"/>
    </row>
    <row r="232" spans="1:6" ht="13.5" thickBot="1"/>
    <row r="233" spans="1:6">
      <c r="A233" s="83" t="s">
        <v>89</v>
      </c>
      <c r="B233" s="99">
        <v>11</v>
      </c>
      <c r="C233" s="84" t="s">
        <v>90</v>
      </c>
      <c r="D233" s="85" t="s">
        <v>268</v>
      </c>
      <c r="E233" s="85"/>
      <c r="F233" s="86"/>
    </row>
    <row r="234" spans="1:6">
      <c r="A234" s="87" t="s">
        <v>91</v>
      </c>
      <c r="B234" s="80" t="s">
        <v>260</v>
      </c>
      <c r="C234" s="80"/>
      <c r="D234" s="80"/>
      <c r="E234" s="80"/>
      <c r="F234" s="88"/>
    </row>
    <row r="235" spans="1:6">
      <c r="A235" s="89"/>
      <c r="B235" s="81"/>
      <c r="C235" s="81"/>
      <c r="D235" s="81"/>
      <c r="E235" s="81"/>
      <c r="F235" s="90"/>
    </row>
    <row r="236" spans="1:6">
      <c r="A236" s="91"/>
      <c r="B236" s="82"/>
      <c r="C236" s="82"/>
      <c r="D236" s="82"/>
      <c r="E236" s="82"/>
      <c r="F236" s="92"/>
    </row>
    <row r="237" spans="1:6">
      <c r="A237" s="97" t="str">
        <f>CONCATENATE("Responsible Person: ",Sprint13!C44)</f>
        <v>Responsible Person: Lisa</v>
      </c>
      <c r="B237" s="79"/>
      <c r="C237" s="79"/>
      <c r="D237" s="79"/>
      <c r="E237" s="79"/>
      <c r="F237" s="98"/>
    </row>
    <row r="238" spans="1:6" ht="26.25" thickBot="1">
      <c r="A238" s="93" t="s">
        <v>88</v>
      </c>
      <c r="B238" s="100">
        <v>0.8</v>
      </c>
      <c r="C238" s="95" t="s">
        <v>93</v>
      </c>
      <c r="D238" s="94"/>
      <c r="E238" s="95" t="s">
        <v>92</v>
      </c>
      <c r="F238" s="96"/>
    </row>
    <row r="240" spans="1:6" ht="13.5" thickBot="1"/>
    <row r="241" spans="1:6">
      <c r="A241" s="83" t="s">
        <v>89</v>
      </c>
      <c r="B241" s="99">
        <v>11</v>
      </c>
      <c r="C241" s="84" t="s">
        <v>90</v>
      </c>
      <c r="D241" s="85" t="s">
        <v>268</v>
      </c>
      <c r="E241" s="85"/>
      <c r="F241" s="86"/>
    </row>
    <row r="242" spans="1:6">
      <c r="A242" s="87" t="s">
        <v>91</v>
      </c>
      <c r="B242" s="80" t="s">
        <v>261</v>
      </c>
      <c r="C242" s="80"/>
      <c r="D242" s="80"/>
      <c r="E242" s="80"/>
      <c r="F242" s="88"/>
    </row>
    <row r="243" spans="1:6">
      <c r="A243" s="89"/>
      <c r="B243" s="81"/>
      <c r="C243" s="81"/>
      <c r="D243" s="81"/>
      <c r="E243" s="81"/>
      <c r="F243" s="90"/>
    </row>
    <row r="244" spans="1:6">
      <c r="A244" s="91"/>
      <c r="B244" s="82"/>
      <c r="C244" s="82"/>
      <c r="D244" s="82"/>
      <c r="E244" s="82"/>
      <c r="F244" s="92"/>
    </row>
    <row r="245" spans="1:6">
      <c r="A245" s="97" t="str">
        <f>CONCATENATE("Responsible Person: ",Sprint13!C45)</f>
        <v>Responsible Person: Leo</v>
      </c>
      <c r="B245" s="79"/>
      <c r="C245" s="79"/>
      <c r="D245" s="79"/>
      <c r="E245" s="79"/>
      <c r="F245" s="98"/>
    </row>
    <row r="246" spans="1:6" ht="26.25" thickBot="1">
      <c r="A246" s="93" t="s">
        <v>88</v>
      </c>
      <c r="B246" s="100">
        <v>0.6</v>
      </c>
      <c r="C246" s="95" t="s">
        <v>93</v>
      </c>
      <c r="D246" s="94"/>
      <c r="E246" s="95" t="s">
        <v>92</v>
      </c>
      <c r="F246" s="96"/>
    </row>
    <row r="248" spans="1:6" ht="13.5" thickBot="1"/>
    <row r="249" spans="1:6">
      <c r="A249" s="83" t="s">
        <v>89</v>
      </c>
      <c r="B249" s="99">
        <v>11</v>
      </c>
      <c r="C249" s="84" t="s">
        <v>90</v>
      </c>
      <c r="D249" s="85" t="s">
        <v>268</v>
      </c>
      <c r="E249" s="85"/>
      <c r="F249" s="86"/>
    </row>
    <row r="250" spans="1:6">
      <c r="A250" s="87" t="s">
        <v>91</v>
      </c>
      <c r="B250" s="80" t="s">
        <v>262</v>
      </c>
      <c r="C250" s="80"/>
      <c r="D250" s="80"/>
      <c r="E250" s="80"/>
      <c r="F250" s="88"/>
    </row>
    <row r="251" spans="1:6">
      <c r="A251" s="89"/>
      <c r="B251" s="81"/>
      <c r="C251" s="81"/>
      <c r="D251" s="81"/>
      <c r="E251" s="81"/>
      <c r="F251" s="90"/>
    </row>
    <row r="252" spans="1:6">
      <c r="A252" s="91"/>
      <c r="B252" s="82"/>
      <c r="C252" s="82"/>
      <c r="D252" s="82"/>
      <c r="E252" s="82"/>
      <c r="F252" s="92"/>
    </row>
    <row r="253" spans="1:6">
      <c r="A253" s="97" t="str">
        <f>CONCATENATE("Responsible Person: ",Sprint13!C46)</f>
        <v>Responsible Person: Leo</v>
      </c>
      <c r="B253" s="79"/>
      <c r="C253" s="79"/>
      <c r="D253" s="79"/>
      <c r="E253" s="79"/>
      <c r="F253" s="98"/>
    </row>
    <row r="254" spans="1:6" ht="26.25" thickBot="1">
      <c r="A254" s="93" t="s">
        <v>88</v>
      </c>
      <c r="B254" s="100">
        <v>0.7</v>
      </c>
      <c r="C254" s="95" t="s">
        <v>93</v>
      </c>
      <c r="D254" s="94"/>
      <c r="E254" s="95" t="s">
        <v>92</v>
      </c>
      <c r="F254" s="96"/>
    </row>
    <row r="256" spans="1:6" ht="13.5" thickBot="1"/>
    <row r="257" spans="1:6">
      <c r="A257" s="83" t="s">
        <v>89</v>
      </c>
      <c r="B257" s="99">
        <v>11</v>
      </c>
      <c r="C257" s="84" t="s">
        <v>90</v>
      </c>
      <c r="D257" s="85" t="s">
        <v>268</v>
      </c>
      <c r="E257" s="85"/>
      <c r="F257" s="86"/>
    </row>
    <row r="258" spans="1:6">
      <c r="A258" s="87" t="s">
        <v>91</v>
      </c>
      <c r="B258" s="80" t="s">
        <v>263</v>
      </c>
      <c r="C258" s="80"/>
      <c r="D258" s="80"/>
      <c r="E258" s="80"/>
      <c r="F258" s="88"/>
    </row>
    <row r="259" spans="1:6">
      <c r="A259" s="89"/>
      <c r="B259" s="81"/>
      <c r="C259" s="81"/>
      <c r="D259" s="81"/>
      <c r="E259" s="81"/>
      <c r="F259" s="90"/>
    </row>
    <row r="260" spans="1:6">
      <c r="A260" s="91"/>
      <c r="B260" s="82"/>
      <c r="C260" s="82"/>
      <c r="D260" s="82"/>
      <c r="E260" s="82"/>
      <c r="F260" s="92"/>
    </row>
    <row r="261" spans="1:6">
      <c r="A261" s="97" t="str">
        <f>CONCATENATE("Responsible Person: ",Sprint13!C47)</f>
        <v>Responsible Person: Leo</v>
      </c>
      <c r="B261" s="79"/>
      <c r="C261" s="79"/>
      <c r="D261" s="79"/>
      <c r="E261" s="79"/>
      <c r="F261" s="98"/>
    </row>
    <row r="262" spans="1:6" ht="26.25" thickBot="1">
      <c r="A262" s="93" t="s">
        <v>88</v>
      </c>
      <c r="B262" s="100">
        <v>0.7</v>
      </c>
      <c r="C262" s="95" t="s">
        <v>93</v>
      </c>
      <c r="D262" s="94"/>
      <c r="E262" s="95" t="s">
        <v>92</v>
      </c>
      <c r="F262" s="96"/>
    </row>
    <row r="264" spans="1:6" ht="13.5" thickBot="1"/>
    <row r="265" spans="1:6">
      <c r="A265" s="83" t="s">
        <v>89</v>
      </c>
      <c r="B265" s="99">
        <v>11</v>
      </c>
      <c r="C265" s="84" t="s">
        <v>90</v>
      </c>
      <c r="D265" s="85" t="s">
        <v>268</v>
      </c>
      <c r="E265" s="85"/>
      <c r="F265" s="86"/>
    </row>
    <row r="266" spans="1:6">
      <c r="A266" s="87" t="s">
        <v>91</v>
      </c>
      <c r="B266" s="80" t="s">
        <v>264</v>
      </c>
      <c r="C266" s="80"/>
      <c r="D266" s="80"/>
      <c r="E266" s="80"/>
      <c r="F266" s="88"/>
    </row>
    <row r="267" spans="1:6">
      <c r="A267" s="89"/>
      <c r="B267" s="81"/>
      <c r="C267" s="81"/>
      <c r="D267" s="81"/>
      <c r="E267" s="81"/>
      <c r="F267" s="90"/>
    </row>
    <row r="268" spans="1:6">
      <c r="A268" s="91"/>
      <c r="B268" s="82"/>
      <c r="C268" s="82"/>
      <c r="D268" s="82"/>
      <c r="E268" s="82"/>
      <c r="F268" s="92"/>
    </row>
    <row r="269" spans="1:6">
      <c r="A269" s="97" t="str">
        <f>CONCATENATE("Responsible Person: ",Sprint13!C48)</f>
        <v>Responsible Person: Leo</v>
      </c>
      <c r="B269" s="79"/>
      <c r="C269" s="79"/>
      <c r="D269" s="79"/>
      <c r="E269" s="79"/>
      <c r="F269" s="98"/>
    </row>
    <row r="270" spans="1:6" ht="26.25" thickBot="1">
      <c r="A270" s="93" t="s">
        <v>88</v>
      </c>
      <c r="B270" s="100">
        <v>0.7</v>
      </c>
      <c r="C270" s="95" t="s">
        <v>93</v>
      </c>
      <c r="D270" s="94"/>
      <c r="E270" s="95" t="s">
        <v>92</v>
      </c>
      <c r="F270" s="96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145</vt:i4>
      </vt:variant>
    </vt:vector>
  </HeadingPairs>
  <TitlesOfParts>
    <vt:vector size="166" baseType="lpstr">
      <vt:lpstr>Release Plan</vt:lpstr>
      <vt:lpstr>Product Backlog</vt:lpstr>
      <vt:lpstr>PB Burndown</vt:lpstr>
      <vt:lpstr>Sprint1</vt:lpstr>
      <vt:lpstr>Sprint2</vt:lpstr>
      <vt:lpstr>Sprint3</vt:lpstr>
      <vt:lpstr>Sprint4</vt:lpstr>
      <vt:lpstr>Sprint5</vt:lpstr>
      <vt:lpstr>Sprint6</vt:lpstr>
      <vt:lpstr>Sprint7</vt:lpstr>
      <vt:lpstr>Sprint8</vt:lpstr>
      <vt:lpstr>Sprint9</vt:lpstr>
      <vt:lpstr>Sprint10</vt:lpstr>
      <vt:lpstr>Sprint11</vt:lpstr>
      <vt:lpstr>Sprint12</vt:lpstr>
      <vt:lpstr>Sprint13</vt:lpstr>
      <vt:lpstr>Sprint14</vt:lpstr>
      <vt:lpstr>Sprint15</vt:lpstr>
      <vt:lpstr>Sprint16</vt:lpstr>
      <vt:lpstr>Sprint Sheet Template</vt:lpstr>
      <vt:lpstr>Task Slips</vt:lpstr>
      <vt:lpstr>'Sprint Sheet Template'!DoneDays</vt:lpstr>
      <vt:lpstr>Sprint1!DoneDays</vt:lpstr>
      <vt:lpstr>Sprint10!DoneDays</vt:lpstr>
      <vt:lpstr>Sprint11!DoneDays</vt:lpstr>
      <vt:lpstr>Sprint12!DoneDays</vt:lpstr>
      <vt:lpstr>Sprint13!DoneDays</vt:lpstr>
      <vt:lpstr>Sprint14!DoneDays</vt:lpstr>
      <vt:lpstr>Sprint15!DoneDays</vt:lpstr>
      <vt:lpstr>Sprint16!DoneDays</vt:lpstr>
      <vt:lpstr>Sprint2!DoneDays</vt:lpstr>
      <vt:lpstr>Sprint3!DoneDays</vt:lpstr>
      <vt:lpstr>Sprint4!DoneDays</vt:lpstr>
      <vt:lpstr>Sprint5!DoneDays</vt:lpstr>
      <vt:lpstr>Sprint6!DoneDays</vt:lpstr>
      <vt:lpstr>Sprint7!DoneDays</vt:lpstr>
      <vt:lpstr>Sprint8!DoneDays</vt:lpstr>
      <vt:lpstr>Sprint9!DoneDays</vt:lpstr>
      <vt:lpstr>'Sprint Sheet Template'!ImplementationDays</vt:lpstr>
      <vt:lpstr>Sprint1!ImplementationDays</vt:lpstr>
      <vt:lpstr>Sprint10!ImplementationDays</vt:lpstr>
      <vt:lpstr>Sprint11!ImplementationDays</vt:lpstr>
      <vt:lpstr>Sprint12!ImplementationDays</vt:lpstr>
      <vt:lpstr>Sprint13!ImplementationDays</vt:lpstr>
      <vt:lpstr>Sprint14!ImplementationDays</vt:lpstr>
      <vt:lpstr>Sprint15!ImplementationDays</vt:lpstr>
      <vt:lpstr>Sprint16!ImplementationDays</vt:lpstr>
      <vt:lpstr>Sprint2!ImplementationDays</vt:lpstr>
      <vt:lpstr>Sprint3!ImplementationDays</vt:lpstr>
      <vt:lpstr>Sprint4!ImplementationDays</vt:lpstr>
      <vt:lpstr>Sprint5!ImplementationDays</vt:lpstr>
      <vt:lpstr>Sprint6!ImplementationDays</vt:lpstr>
      <vt:lpstr>Sprint7!ImplementationDays</vt:lpstr>
      <vt:lpstr>Sprint8!ImplementationDays</vt:lpstr>
      <vt:lpstr>Sprint9!ImplementationDays</vt:lpstr>
      <vt:lpstr>'Product Backlog'!Print_Area</vt:lpstr>
      <vt:lpstr>ProductBacklog</vt:lpstr>
      <vt:lpstr>Sprint</vt:lpstr>
      <vt:lpstr>SprintCount</vt:lpstr>
      <vt:lpstr>SprintsInTrend</vt:lpstr>
      <vt:lpstr>Sprint1!SprintTasks</vt:lpstr>
      <vt:lpstr>Sprint10!SprintTasks</vt:lpstr>
      <vt:lpstr>Sprint11!SprintTasks</vt:lpstr>
      <vt:lpstr>Sprint12!SprintTasks</vt:lpstr>
      <vt:lpstr>Sprint13!SprintTasks</vt:lpstr>
      <vt:lpstr>Sprint14!SprintTasks</vt:lpstr>
      <vt:lpstr>Sprint15!SprintTasks</vt:lpstr>
      <vt:lpstr>Sprint16!SprintTasks</vt:lpstr>
      <vt:lpstr>Sprint2!SprintTasks</vt:lpstr>
      <vt:lpstr>Sprint3!SprintTasks</vt:lpstr>
      <vt:lpstr>Sprint4!SprintTasks</vt:lpstr>
      <vt:lpstr>Sprint5!SprintTasks</vt:lpstr>
      <vt:lpstr>Sprint6!SprintTasks</vt:lpstr>
      <vt:lpstr>Sprint7!SprintTasks</vt:lpstr>
      <vt:lpstr>Sprint8!SprintTasks</vt:lpstr>
      <vt:lpstr>Sprint9!SprintTasks</vt:lpstr>
      <vt:lpstr>SprintTasks</vt:lpstr>
      <vt:lpstr>Status</vt:lpstr>
      <vt:lpstr>StoryName</vt:lpstr>
      <vt:lpstr>'Sprint Sheet Template'!TaskRows</vt:lpstr>
      <vt:lpstr>Sprint1!TaskRows</vt:lpstr>
      <vt:lpstr>Sprint10!TaskRows</vt:lpstr>
      <vt:lpstr>Sprint11!TaskRows</vt:lpstr>
      <vt:lpstr>Sprint12!TaskRows</vt:lpstr>
      <vt:lpstr>Sprint13!TaskRows</vt:lpstr>
      <vt:lpstr>Sprint14!TaskRows</vt:lpstr>
      <vt:lpstr>Sprint15!TaskRows</vt:lpstr>
      <vt:lpstr>Sprint16!TaskRows</vt:lpstr>
      <vt:lpstr>Sprint2!TaskRows</vt:lpstr>
      <vt:lpstr>Sprint3!TaskRows</vt:lpstr>
      <vt:lpstr>Sprint4!TaskRows</vt:lpstr>
      <vt:lpstr>Sprint5!TaskRows</vt:lpstr>
      <vt:lpstr>Sprint6!TaskRows</vt:lpstr>
      <vt:lpstr>Sprint7!TaskRows</vt:lpstr>
      <vt:lpstr>Sprint8!TaskRows</vt:lpstr>
      <vt:lpstr>Sprint9!TaskRows</vt:lpstr>
      <vt:lpstr>Sprint1!TaskStatus</vt:lpstr>
      <vt:lpstr>Sprint10!TaskStatus</vt:lpstr>
      <vt:lpstr>Sprint11!TaskStatus</vt:lpstr>
      <vt:lpstr>Sprint12!TaskStatus</vt:lpstr>
      <vt:lpstr>Sprint13!TaskStatus</vt:lpstr>
      <vt:lpstr>Sprint14!TaskStatus</vt:lpstr>
      <vt:lpstr>Sprint15!TaskStatus</vt:lpstr>
      <vt:lpstr>Sprint16!TaskStatus</vt:lpstr>
      <vt:lpstr>Sprint2!TaskStatus</vt:lpstr>
      <vt:lpstr>Sprint3!TaskStatus</vt:lpstr>
      <vt:lpstr>Sprint4!TaskStatus</vt:lpstr>
      <vt:lpstr>Sprint5!TaskStatus</vt:lpstr>
      <vt:lpstr>Sprint6!TaskStatus</vt:lpstr>
      <vt:lpstr>Sprint7!TaskStatus</vt:lpstr>
      <vt:lpstr>Sprint8!TaskStatus</vt:lpstr>
      <vt:lpstr>Sprint9!TaskStatus</vt:lpstr>
      <vt:lpstr>TaskStatus</vt:lpstr>
      <vt:lpstr>Sprint1!TaskStoryID</vt:lpstr>
      <vt:lpstr>Sprint10!TaskStoryID</vt:lpstr>
      <vt:lpstr>Sprint11!TaskStoryID</vt:lpstr>
      <vt:lpstr>Sprint12!TaskStoryID</vt:lpstr>
      <vt:lpstr>Sprint13!TaskStoryID</vt:lpstr>
      <vt:lpstr>Sprint14!TaskStoryID</vt:lpstr>
      <vt:lpstr>Sprint15!TaskStoryID</vt:lpstr>
      <vt:lpstr>Sprint16!TaskStoryID</vt:lpstr>
      <vt:lpstr>Sprint2!TaskStoryID</vt:lpstr>
      <vt:lpstr>Sprint3!TaskStoryID</vt:lpstr>
      <vt:lpstr>Sprint4!TaskStoryID</vt:lpstr>
      <vt:lpstr>Sprint5!TaskStoryID</vt:lpstr>
      <vt:lpstr>Sprint6!TaskStoryID</vt:lpstr>
      <vt:lpstr>Sprint7!TaskStoryID</vt:lpstr>
      <vt:lpstr>Sprint8!TaskStoryID</vt:lpstr>
      <vt:lpstr>Sprint9!TaskStoryID</vt:lpstr>
      <vt:lpstr>TaskStoryID</vt:lpstr>
      <vt:lpstr>'Sprint Sheet Template'!TotalEffort</vt:lpstr>
      <vt:lpstr>Sprint1!TotalEffort</vt:lpstr>
      <vt:lpstr>Sprint10!TotalEffort</vt:lpstr>
      <vt:lpstr>Sprint11!TotalEffort</vt:lpstr>
      <vt:lpstr>Sprint12!TotalEffort</vt:lpstr>
      <vt:lpstr>Sprint13!TotalEffort</vt:lpstr>
      <vt:lpstr>Sprint14!TotalEffort</vt:lpstr>
      <vt:lpstr>Sprint15!TotalEffort</vt:lpstr>
      <vt:lpstr>Sprint16!TotalEffort</vt:lpstr>
      <vt:lpstr>Sprint2!TotalEffort</vt:lpstr>
      <vt:lpstr>Sprint3!TotalEffort</vt:lpstr>
      <vt:lpstr>Sprint4!TotalEffort</vt:lpstr>
      <vt:lpstr>Sprint5!TotalEffort</vt:lpstr>
      <vt:lpstr>Sprint6!TotalEffort</vt:lpstr>
      <vt:lpstr>Sprint7!TotalEffort</vt:lpstr>
      <vt:lpstr>Sprint8!TotalEffort</vt:lpstr>
      <vt:lpstr>Sprint9!TotalEffort</vt:lpstr>
      <vt:lpstr>Sprint1!TrendDays</vt:lpstr>
      <vt:lpstr>Sprint10!TrendDays</vt:lpstr>
      <vt:lpstr>Sprint11!TrendDays</vt:lpstr>
      <vt:lpstr>Sprint12!TrendDays</vt:lpstr>
      <vt:lpstr>Sprint13!TrendDays</vt:lpstr>
      <vt:lpstr>Sprint14!TrendDays</vt:lpstr>
      <vt:lpstr>Sprint15!TrendDays</vt:lpstr>
      <vt:lpstr>Sprint16!TrendDays</vt:lpstr>
      <vt:lpstr>Sprint2!TrendDays</vt:lpstr>
      <vt:lpstr>Sprint3!TrendDays</vt:lpstr>
      <vt:lpstr>Sprint4!TrendDays</vt:lpstr>
      <vt:lpstr>Sprint5!TrendDays</vt:lpstr>
      <vt:lpstr>Sprint6!TrendDays</vt:lpstr>
      <vt:lpstr>Sprint7!TrendDays</vt:lpstr>
      <vt:lpstr>Sprint8!TrendDays</vt:lpstr>
      <vt:lpstr>Sprint9!TrendDays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pwhite</cp:lastModifiedBy>
  <cp:revision>1</cp:revision>
  <cp:lastPrinted>2012-03-11T22:39:30Z</cp:lastPrinted>
  <dcterms:created xsi:type="dcterms:W3CDTF">1998-06-05T11:20:44Z</dcterms:created>
  <dcterms:modified xsi:type="dcterms:W3CDTF">2012-03-28T00:37:45Z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